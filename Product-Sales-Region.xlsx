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indhura\Downloads\"/>
    </mc:Choice>
  </mc:AlternateContent>
  <xr:revisionPtr revIDLastSave="0" documentId="13_ncr:1_{9344611B-B48E-4FE5-8B5B-EBB9380C3684}" xr6:coauthVersionLast="47" xr6:coauthVersionMax="47" xr10:uidLastSave="{00000000-0000-0000-0000-000000000000}"/>
  <bookViews>
    <workbookView xWindow="-108" yWindow="-108" windowWidth="23256" windowHeight="12456" activeTab="5" xr2:uid="{00000000-000D-0000-FFFF-FFFF00000000}"/>
  </bookViews>
  <sheets>
    <sheet name="PT_Monthly" sheetId="2" r:id="rId1"/>
    <sheet name="PT_Quarterly" sheetId="4" r:id="rId2"/>
    <sheet name="PT_Region" sheetId="5" r:id="rId3"/>
    <sheet name="PT_SalesRep" sheetId="6" r:id="rId4"/>
    <sheet name="Sheet1" sheetId="1" r:id="rId5"/>
    <sheet name="Dashboard" sheetId="7" r:id="rId6"/>
  </sheets>
  <definedNames>
    <definedName name="Slicer_Product">#N/A</definedName>
    <definedName name="Slicer_Quarter">#N/A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 i="7" l="1"/>
  <c r="P4" i="7"/>
  <c r="J4" i="7"/>
  <c r="B4" i="7"/>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alcChain>
</file>

<file path=xl/sharedStrings.xml><?xml version="1.0" encoding="utf-8"?>
<sst xmlns="http://schemas.openxmlformats.org/spreadsheetml/2006/main" count="14738" uniqueCount="2988">
  <si>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</si>
  <si>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</si>
  <si>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</si>
  <si>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</si>
  <si>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</si>
  <si>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</si>
  <si>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</si>
  <si>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</si>
  <si>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</si>
  <si>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</si>
  <si>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</si>
  <si>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</si>
  <si>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</si>
  <si>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</si>
  <si>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</si>
  <si>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</si>
  <si>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</si>
  <si>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</si>
  <si>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</si>
  <si>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</si>
  <si>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</si>
  <si>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</si>
  <si>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</si>
  <si>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</si>
  <si>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</si>
  <si>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</si>
  <si>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</si>
  <si>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</si>
  <si>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</si>
  <si>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</si>
  <si>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</si>
  <si>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</si>
  <si>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</si>
  <si>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</si>
  <si>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</si>
  <si>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</si>
  <si>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</si>
  <si>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</si>
  <si>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</si>
  <si>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</si>
  <si>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</si>
  <si>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</si>
  <si>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</si>
  <si>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</si>
  <si>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</si>
  <si>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</si>
  <si>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</si>
  <si>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</si>
  <si>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</si>
  <si>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</si>
  <si>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</si>
  <si>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</si>
  <si>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</si>
  <si>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</si>
  <si>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</si>
  <si>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</si>
  <si>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</si>
  <si>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</si>
  <si>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</si>
  <si>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</si>
  <si>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</si>
  <si>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</si>
  <si>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</si>
  <si>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</si>
  <si>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</si>
  <si>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</si>
  <si>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</si>
  <si>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</si>
  <si>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</si>
  <si>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</si>
  <si>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</si>
  <si>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</si>
  <si>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</si>
  <si>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</si>
  <si>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</si>
  <si>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</si>
  <si>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</si>
  <si>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</si>
  <si>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</si>
  <si>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</si>
  <si>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</si>
  <si>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</si>
  <si>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</si>
  <si>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</si>
  <si>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</si>
  <si>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</si>
  <si>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</si>
  <si>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</si>
  <si>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</si>
  <si>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</si>
  <si>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</si>
  <si>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</si>
  <si>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</si>
  <si>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</si>
  <si>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</si>
  <si>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</si>
  <si>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</si>
  <si>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</si>
  <si>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</si>
  <si>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</si>
  <si>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</si>
  <si>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</si>
  <si>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</si>
  <si>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</si>
  <si>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</si>
  <si>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</si>
  <si>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</si>
  <si>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</si>
  <si>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</si>
  <si>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</si>
  <si>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</si>
  <si>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</si>
  <si>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</si>
  <si>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</si>
  <si>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</si>
  <si>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</si>
  <si>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</si>
  <si>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</si>
  <si>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</si>
  <si>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</si>
  <si>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</si>
  <si>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</si>
  <si>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</si>
  <si>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</si>
  <si>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</si>
  <si>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</si>
  <si>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</si>
  <si>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</si>
  <si>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</si>
  <si>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</si>
  <si>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</si>
  <si>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</si>
  <si>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</si>
  <si>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</si>
  <si>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</si>
  <si>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</si>
  <si>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</si>
  <si>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</si>
  <si>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</si>
  <si>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</si>
  <si>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</si>
  <si>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</si>
  <si>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</si>
  <si>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</si>
  <si>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</si>
  <si>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</si>
  <si>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</si>
  <si>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</si>
  <si>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</si>
  <si>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</si>
  <si>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</si>
  <si>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</si>
  <si>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</si>
  <si>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</si>
  <si>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</si>
  <si>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</si>
  <si>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</si>
  <si>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</si>
  <si>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</si>
  <si>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</si>
  <si>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</si>
  <si>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</si>
  <si>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</si>
  <si>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</si>
  <si>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</si>
  <si>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</si>
  <si>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</si>
  <si>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</si>
  <si>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</si>
  <si>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</si>
  <si>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</si>
  <si>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</si>
  <si>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</si>
  <si>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</si>
  <si>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</si>
  <si>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</si>
  <si>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</si>
  <si>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</si>
  <si>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</si>
  <si>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</si>
  <si>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</si>
  <si>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</si>
  <si>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</si>
  <si>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</si>
  <si>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</si>
  <si>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</si>
  <si>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</si>
  <si>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</si>
  <si>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</si>
  <si>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</si>
  <si>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</si>
  <si>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</si>
  <si>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</si>
  <si>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</si>
  <si>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</si>
  <si>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</si>
  <si>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</si>
  <si>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</si>
  <si>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</si>
  <si>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</si>
  <si>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</si>
  <si>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</si>
  <si>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</si>
  <si>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</si>
  <si>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</si>
  <si>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</si>
  <si>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</si>
  <si>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</si>
  <si>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</si>
  <si>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</si>
  <si>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</si>
  <si>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</si>
  <si>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</si>
  <si>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</si>
  <si>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</si>
  <si>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</si>
  <si>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</si>
  <si>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</si>
  <si>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</si>
  <si>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</si>
  <si>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</si>
  <si>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</si>
  <si>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</si>
  <si>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</si>
  <si>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</si>
  <si>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</si>
  <si>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</si>
  <si>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</si>
  <si>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</si>
  <si>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</si>
  <si>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</si>
  <si>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</si>
  <si>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</si>
  <si>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</si>
  <si>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</si>
  <si>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</si>
  <si>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</si>
  <si>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</si>
  <si>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</si>
  <si>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</si>
  <si>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</si>
  <si>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</si>
  <si>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</si>
  <si>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</si>
  <si>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</si>
  <si>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</si>
  <si>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</si>
  <si>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</si>
  <si>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</si>
  <si>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</si>
  <si>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</si>
  <si>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</si>
  <si>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</si>
  <si>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</si>
  <si>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</si>
  <si>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</si>
  <si>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</si>
  <si>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</si>
  <si>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</si>
  <si>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</si>
  <si>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</si>
  <si>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</si>
  <si>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</si>
  <si>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</si>
  <si>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</si>
  <si>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</si>
  <si>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</si>
  <si>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</si>
  <si>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</si>
  <si>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</si>
  <si>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</si>
  <si>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</si>
  <si>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</si>
  <si>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</si>
  <si>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</si>
  <si>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</si>
  <si>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</si>
  <si>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</si>
  <si>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</si>
  <si>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</si>
  <si>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</si>
  <si>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</si>
  <si>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</si>
  <si>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</si>
  <si>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</si>
  <si>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</si>
  <si>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</si>
  <si>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</si>
  <si>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</si>
  <si>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</si>
  <si>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</si>
  <si>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</si>
  <si>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</si>
  <si>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</si>
  <si>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</si>
  <si>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</si>
  <si>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</si>
  <si>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</si>
  <si>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</si>
  <si>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</si>
  <si>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</si>
  <si>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</si>
  <si>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</si>
  <si>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</si>
  <si>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</si>
  <si>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</si>
  <si>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</si>
  <si>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</si>
  <si>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</si>
  <si>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</si>
  <si>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</si>
  <si>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</si>
  <si>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</si>
  <si>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</si>
  <si>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</si>
  <si>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</si>
  <si>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</si>
  <si>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</si>
  <si>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</si>
  <si>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</si>
  <si>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</si>
  <si>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</si>
  <si>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</si>
  <si>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</si>
  <si>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</si>
  <si>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</si>
  <si>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</si>
  <si>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</si>
  <si>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</si>
  <si>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</si>
  <si>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</si>
  <si>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</si>
  <si>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</si>
  <si>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</si>
  <si>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</si>
  <si>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</si>
  <si>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</si>
  <si>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</si>
  <si>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</si>
  <si>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</si>
  <si>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</si>
  <si>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</si>
  <si>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</si>
  <si>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</si>
  <si>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</si>
  <si>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</si>
  <si>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</si>
  <si>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</si>
  <si>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</si>
  <si>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</si>
  <si>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</si>
  <si>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</si>
  <si>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</si>
  <si>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</si>
  <si>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</si>
  <si>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</si>
  <si>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</si>
  <si>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</si>
  <si>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</si>
  <si>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</si>
  <si>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</si>
  <si>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</si>
  <si>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</si>
  <si>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</si>
  <si>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</si>
  <si>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</si>
  <si>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</si>
  <si>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</si>
  <si>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</si>
  <si>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</si>
  <si>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</si>
  <si>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</si>
  <si>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</si>
  <si>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</si>
  <si>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</si>
  <si>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</si>
  <si>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</si>
  <si>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</si>
  <si>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</si>
  <si>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</si>
  <si>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</si>
  <si>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</si>
  <si>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</si>
  <si>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</si>
  <si>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</si>
  <si>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</si>
  <si>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</si>
  <si>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</si>
  <si>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</si>
  <si>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</si>
  <si>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</si>
  <si>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</si>
  <si>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</si>
  <si>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</si>
  <si>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</si>
  <si>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</si>
  <si>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</si>
  <si>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</si>
  <si>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</si>
  <si>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</si>
  <si>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</si>
  <si>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</si>
  <si>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</si>
  <si>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</si>
  <si>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</si>
  <si>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</si>
  <si>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</si>
  <si>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</si>
  <si>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</si>
  <si>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</si>
  <si>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</si>
  <si>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</si>
  <si>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</si>
  <si>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</si>
  <si>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</si>
  <si>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</si>
  <si>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</si>
  <si>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</si>
  <si>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</si>
  <si>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</si>
  <si>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</si>
  <si>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</si>
  <si>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</si>
  <si>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</si>
  <si>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</si>
  <si>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</si>
  <si>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</si>
  <si>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</si>
  <si>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</si>
  <si>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</si>
  <si>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</si>
  <si>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</si>
  <si>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</si>
  <si>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</si>
  <si>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</si>
  <si>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</si>
  <si>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</si>
  <si>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</si>
  <si>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</si>
  <si>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</si>
  <si>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</si>
  <si>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</si>
  <si>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</si>
  <si>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</si>
  <si>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</si>
  <si>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</si>
  <si>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</si>
  <si>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</si>
  <si>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</si>
  <si>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</si>
  <si>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</si>
  <si>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</si>
  <si>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</si>
  <si>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</si>
  <si>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</si>
  <si>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</si>
  <si>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</si>
  <si>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</si>
  <si>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</si>
  <si>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</si>
  <si>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</si>
  <si>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</si>
  <si>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</si>
  <si>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</si>
  <si>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</si>
  <si>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</si>
  <si>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</si>
  <si>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</si>
  <si>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</si>
  <si>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</si>
  <si>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</si>
  <si>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</si>
  <si>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</si>
  <si>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</si>
  <si>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</si>
  <si>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</si>
  <si>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</si>
  <si>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</si>
  <si>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</si>
  <si>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</si>
  <si>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</si>
  <si>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</si>
  <si>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</si>
  <si>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</si>
  <si>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</si>
  <si>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</si>
  <si>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</si>
  <si>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</si>
  <si>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</si>
  <si>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</si>
  <si>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</si>
  <si>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</si>
  <si>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</si>
  <si>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</si>
  <si>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</si>
  <si>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</si>
  <si>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</si>
  <si>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</si>
  <si>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</si>
  <si>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</si>
  <si>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</si>
  <si>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</si>
  <si>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</si>
  <si>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</si>
  <si>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</si>
  <si>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</si>
  <si>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</si>
  <si>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</si>
  <si>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</si>
  <si>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</si>
  <si>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</si>
  <si>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</si>
  <si>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</si>
  <si>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</si>
  <si>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</si>
  <si>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</si>
  <si>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</si>
  <si>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</si>
  <si>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</si>
  <si>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</si>
  <si>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</si>
  <si>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</si>
  <si>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</si>
  <si>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</si>
  <si>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</si>
  <si>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</si>
  <si>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</si>
  <si>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</si>
  <si>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</si>
  <si>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</si>
  <si>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</si>
  <si>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</si>
  <si>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</si>
  <si>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</si>
  <si>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</si>
  <si>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</si>
  <si>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</si>
  <si>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</si>
  <si>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</si>
  <si>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</si>
  <si>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</si>
  <si>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</si>
  <si>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</si>
  <si>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</si>
  <si>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</si>
  <si>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</si>
  <si>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</si>
  <si>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</si>
  <si>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</si>
  <si>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</si>
  <si>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</si>
  <si>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</si>
  <si>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</si>
  <si>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</si>
  <si>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</si>
  <si>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</si>
  <si>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</si>
  <si>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</si>
  <si>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</si>
  <si>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</si>
  <si>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</si>
  <si>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</si>
  <si>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</si>
  <si>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</si>
  <si>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</si>
  <si>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</si>
  <si>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</si>
  <si>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</si>
  <si>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</si>
  <si>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</si>
  <si>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</si>
  <si>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</si>
  <si>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</si>
  <si>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</si>
  <si>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</si>
  <si>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</si>
  <si>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</si>
  <si>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</si>
  <si>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</si>
  <si>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</si>
  <si>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</si>
  <si>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</si>
  <si>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</si>
  <si>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</si>
  <si>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</si>
  <si>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</si>
  <si>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</si>
  <si>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</si>
  <si>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</si>
  <si>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</si>
  <si>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</si>
  <si>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</si>
  <si>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</si>
  <si>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</si>
  <si>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</si>
  <si>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</si>
  <si>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</si>
  <si>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</si>
  <si>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</si>
  <si>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</si>
  <si>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</si>
  <si>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</si>
  <si>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</si>
  <si>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</si>
  <si>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</si>
  <si>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</si>
  <si>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</si>
  <si>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</si>
  <si>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</si>
  <si>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</si>
  <si>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</si>
  <si>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</si>
  <si>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</si>
  <si>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</si>
  <si>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</si>
  <si>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</si>
  <si>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</si>
  <si>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</si>
  <si>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</si>
  <si>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</si>
  <si>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</si>
  <si>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</si>
  <si>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</si>
  <si>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</si>
  <si>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</si>
  <si>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</si>
  <si>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</si>
  <si>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</si>
  <si>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</si>
  <si>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</si>
  <si>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</si>
  <si>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</si>
  <si>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</si>
  <si>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</si>
  <si>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</si>
  <si>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</si>
  <si>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</si>
  <si>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</si>
  <si>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</si>
  <si>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</si>
  <si>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</si>
  <si>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</si>
  <si>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</si>
  <si>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</si>
  <si>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</si>
  <si>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</si>
  <si>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</si>
  <si>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</si>
  <si>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</si>
  <si>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</si>
  <si>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</si>
  <si>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</si>
  <si>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</si>
  <si>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</si>
  <si>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</si>
  <si>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</si>
  <si>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</si>
  <si>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</si>
  <si>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</si>
  <si>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</si>
  <si>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</si>
  <si>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</si>
  <si>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</si>
  <si>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</si>
  <si>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</si>
  <si>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</si>
  <si>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</si>
  <si>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</si>
  <si>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</si>
  <si>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</si>
  <si>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</si>
  <si>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</si>
  <si>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</si>
  <si>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</si>
  <si>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</si>
  <si>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</si>
  <si>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</si>
  <si>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</si>
  <si>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</si>
  <si>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</si>
  <si>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</si>
  <si>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</si>
  <si>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</si>
  <si>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</si>
  <si>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</si>
  <si>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</si>
  <si>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</si>
  <si>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</si>
  <si>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</si>
  <si>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</si>
  <si>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</si>
  <si>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</si>
  <si>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</si>
  <si>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</si>
  <si>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</si>
  <si>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</si>
  <si>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</si>
  <si>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</si>
  <si>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</si>
  <si>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</si>
  <si>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</si>
  <si>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</si>
  <si>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</si>
  <si>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</si>
  <si>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</si>
  <si>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</si>
  <si>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</si>
  <si>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</si>
  <si>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</si>
  <si>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</si>
  <si>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</si>
  <si>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</si>
  <si>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</si>
  <si>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</si>
  <si>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</si>
  <si>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</si>
  <si>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</si>
  <si>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</si>
  <si>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</si>
  <si>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</si>
  <si>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</si>
  <si>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</si>
  <si>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</si>
  <si>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</si>
  <si>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</si>
  <si>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</si>
  <si>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</si>
  <si>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</si>
  <si>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</si>
  <si>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</si>
  <si>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</si>
  <si>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</si>
  <si>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</si>
  <si>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</si>
  <si>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</si>
  <si>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</si>
  <si>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</si>
  <si>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</si>
  <si>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</si>
  <si>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</si>
  <si>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</si>
  <si>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</si>
  <si>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</si>
  <si>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</si>
  <si>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</si>
  <si>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</si>
  <si>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</si>
  <si>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</si>
  <si>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</si>
  <si>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</si>
  <si>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</si>
  <si>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</si>
  <si>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</si>
  <si>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</si>
  <si>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</si>
  <si>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</si>
  <si>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</si>
  <si>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</si>
  <si>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</si>
  <si>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</si>
  <si>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</si>
  <si>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</si>
  <si>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</si>
  <si>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</si>
  <si>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</si>
  <si>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</si>
  <si>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</si>
  <si>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</si>
  <si>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</si>
  <si>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</si>
  <si>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</si>
  <si>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</si>
  <si>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</si>
  <si>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</si>
  <si>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</si>
  <si>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</si>
  <si>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</si>
  <si>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</si>
  <si>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</si>
  <si>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</si>
  <si>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</si>
  <si>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</si>
  <si>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</si>
  <si>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</si>
  <si>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</si>
  <si>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</si>
  <si>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</si>
  <si>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</si>
  <si>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</si>
  <si>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</si>
  <si>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</si>
  <si>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</si>
  <si>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</si>
  <si>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</si>
  <si>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</si>
  <si>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</si>
  <si>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</si>
  <si>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</si>
  <si>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</si>
  <si>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</si>
  <si>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</si>
  <si>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</si>
  <si>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</si>
  <si>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</si>
  <si>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</si>
  <si>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</si>
  <si>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</si>
  <si>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</si>
  <si>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</si>
  <si>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</si>
  <si>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</si>
  <si>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</si>
  <si>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</si>
  <si>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</si>
  <si>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</si>
  <si>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</si>
  <si>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</si>
  <si>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</si>
  <si>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</si>
  <si>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</si>
  <si>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</si>
  <si>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</si>
  <si>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</si>
  <si>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</si>
  <si>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</si>
  <si>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</si>
  <si>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</si>
  <si>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</si>
  <si>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</si>
  <si>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</si>
  <si>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</si>
  <si>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</si>
  <si>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</si>
  <si>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</si>
  <si>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</si>
  <si>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</si>
  <si>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</si>
  <si>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</si>
  <si>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</si>
  <si>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</si>
  <si>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</si>
  <si>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</si>
  <si>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</si>
  <si>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</si>
  <si>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</si>
  <si>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</si>
  <si>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</si>
  <si>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</si>
  <si>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</si>
  <si>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</si>
  <si>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</si>
  <si>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</si>
  <si>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</si>
  <si>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</si>
  <si>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</si>
  <si>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</si>
  <si>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</si>
  <si>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</si>
  <si>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</si>
  <si>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</si>
  <si>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</si>
  <si>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</si>
  <si>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</si>
  <si>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</si>
  <si>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</si>
  <si>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</si>
  <si>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</si>
  <si>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</si>
  <si>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</si>
  <si>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</si>
  <si>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</si>
  <si>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</si>
  <si>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</si>
  <si>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</si>
  <si>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</si>
  <si>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</si>
  <si>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</si>
  <si>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</si>
  <si>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</si>
  <si>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</si>
  <si>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</si>
  <si>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</si>
  <si>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</si>
  <si>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</si>
  <si>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</si>
  <si>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</si>
  <si>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</si>
  <si>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</si>
  <si>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</si>
  <si>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</si>
  <si>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</si>
  <si>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</si>
  <si>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</si>
  <si>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</si>
  <si>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</si>
  <si>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</si>
  <si>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</si>
  <si>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</si>
  <si>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</si>
  <si>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</si>
  <si>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</si>
  <si>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</si>
  <si>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</si>
  <si>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</si>
  <si>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</si>
  <si>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</si>
  <si>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</si>
  <si>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</si>
  <si>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</si>
  <si>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</si>
  <si>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</si>
  <si>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</si>
  <si>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</si>
  <si>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</si>
  <si>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</si>
  <si>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</si>
  <si>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</si>
  <si>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</si>
  <si>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</si>
  <si>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</si>
  <si>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</si>
  <si>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</si>
  <si>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</si>
  <si>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</si>
  <si>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</si>
  <si>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</si>
  <si>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</si>
  <si>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</si>
  <si>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</si>
  <si>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</si>
  <si>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</si>
  <si>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</si>
  <si>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</si>
  <si>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</si>
  <si>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</si>
  <si>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</si>
  <si>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</si>
  <si>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</si>
  <si>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</si>
  <si>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</si>
  <si>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</si>
  <si>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</si>
  <si>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</si>
  <si>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</si>
  <si>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</si>
  <si>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</si>
  <si>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</si>
  <si>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</si>
  <si>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</si>
  <si>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</si>
  <si>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</si>
  <si>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</si>
  <si>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</si>
  <si>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</si>
  <si>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</si>
  <si>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</si>
  <si>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</si>
  <si>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</si>
  <si>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</si>
  <si>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</si>
  <si>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</si>
  <si>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</si>
  <si>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</si>
  <si>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</si>
  <si>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</si>
  <si>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</si>
  <si>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</si>
  <si>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</si>
  <si>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</si>
  <si>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</si>
  <si>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</si>
  <si>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</si>
  <si>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</si>
  <si>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</si>
  <si>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</si>
  <si>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</si>
  <si>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</si>
  <si>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</si>
  <si>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</si>
  <si>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</si>
  <si>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</si>
  <si>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</si>
  <si>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</si>
  <si>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</si>
  <si>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</si>
  <si>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</si>
  <si>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</si>
  <si>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</si>
  <si>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</si>
  <si>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</si>
  <si>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</si>
  <si>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</si>
  <si>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</si>
  <si>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</si>
  <si>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</si>
  <si>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</si>
  <si>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</si>
  <si>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</si>
  <si>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</si>
  <si>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</si>
  <si>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</si>
  <si>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</si>
  <si>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</si>
  <si>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</si>
  <si>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</si>
  <si>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</si>
  <si>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</si>
  <si>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</si>
  <si>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</si>
  <si>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</si>
  <si>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</si>
  <si>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</si>
  <si>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</si>
  <si>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</si>
  <si>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</si>
  <si>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</si>
  <si>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</si>
  <si>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</si>
  <si>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</si>
  <si>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</si>
  <si>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</si>
  <si>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</si>
  <si>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</si>
  <si>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</si>
  <si>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</si>
  <si>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</si>
  <si>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</si>
  <si>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</si>
  <si>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</si>
  <si>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</si>
  <si>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</si>
  <si>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</si>
  <si>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</si>
  <si>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</si>
  <si>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</si>
  <si>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</si>
  <si>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</si>
  <si>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</si>
  <si>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</si>
  <si>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</si>
  <si>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</si>
  <si>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</si>
  <si>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</si>
  <si>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</si>
  <si>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</si>
  <si>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</si>
  <si>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</si>
  <si>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</si>
  <si>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</si>
  <si>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</si>
  <si>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</si>
  <si>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</si>
  <si>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</si>
  <si>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</si>
  <si>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</si>
  <si>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</si>
  <si>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</si>
  <si>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</si>
  <si>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</si>
  <si>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</si>
  <si>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</si>
  <si>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</si>
  <si>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</si>
  <si>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</si>
  <si>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</si>
  <si>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</si>
  <si>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</si>
  <si>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</si>
  <si>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</si>
  <si>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</si>
  <si>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</si>
  <si>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</si>
  <si>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</si>
  <si>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</si>
  <si>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</si>
  <si>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</si>
  <si>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</si>
  <si>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</si>
  <si>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</si>
  <si>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</si>
  <si>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</si>
  <si>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</si>
  <si>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</si>
  <si>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</si>
  <si>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</si>
  <si>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</si>
  <si>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</si>
  <si>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</si>
  <si>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</si>
  <si>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</si>
  <si>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</si>
  <si>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</si>
  <si>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</si>
  <si>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</si>
  <si>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</si>
  <si>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</si>
  <si>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</si>
  <si>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</si>
  <si>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</si>
  <si>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</si>
  <si>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</si>
  <si>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</si>
  <si>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</si>
  <si>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</si>
  <si>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</si>
  <si>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</si>
  <si>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</si>
  <si>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</si>
  <si>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</si>
  <si>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</si>
  <si>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</si>
  <si>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</si>
  <si>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</si>
  <si>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</si>
  <si>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</si>
  <si>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</si>
  <si>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</si>
  <si>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</si>
  <si>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</si>
  <si>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</si>
  <si>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</si>
  <si>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</si>
  <si>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</si>
  <si>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</si>
  <si>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</si>
  <si>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</si>
  <si>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</si>
  <si>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</si>
  <si>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</si>
  <si>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</si>
  <si>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</si>
  <si>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</si>
  <si>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</si>
  <si>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</si>
  <si>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</si>
  <si>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</si>
  <si>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</si>
  <si>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</si>
  <si>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</si>
  <si>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</si>
  <si>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</si>
  <si>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</si>
  <si>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</si>
  <si>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</si>
  <si>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</si>
  <si>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</si>
  <si>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</si>
  <si>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</si>
  <si>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</si>
  <si>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</si>
  <si>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</si>
  <si>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</si>
  <si>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</si>
  <si>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</si>
  <si>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</si>
  <si>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</si>
  <si>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</si>
  <si>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</si>
  <si>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</si>
  <si>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</si>
  <si>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</si>
  <si>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</si>
  <si>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</si>
  <si>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</si>
  <si>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</si>
  <si>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</si>
  <si>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</si>
  <si>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</si>
  <si>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</si>
  <si>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</si>
  <si>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</si>
  <si>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</si>
  <si>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</si>
  <si>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</si>
  <si>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</si>
  <si>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</si>
  <si>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</si>
  <si>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</si>
  <si>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</si>
  <si>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</si>
  <si>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</si>
  <si>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</si>
  <si>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</si>
  <si>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</si>
  <si>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</si>
  <si>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</si>
  <si>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</si>
  <si>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</si>
  <si>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</si>
  <si>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</si>
  <si>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</si>
  <si>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</si>
  <si>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</si>
  <si>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</si>
  <si>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</si>
  <si>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</si>
  <si>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</si>
  <si>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</si>
  <si>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</si>
  <si>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</si>
  <si>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</si>
  <si>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</si>
  <si>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</si>
  <si>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</si>
  <si>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</si>
  <si>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</si>
  <si>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</si>
  <si>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</si>
  <si>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</si>
  <si>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</si>
  <si>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</si>
  <si>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</si>
  <si>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</si>
  <si>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</si>
  <si>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</si>
  <si>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</si>
  <si>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</si>
  <si>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</si>
  <si>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</si>
  <si>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</si>
  <si>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</si>
  <si>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</si>
  <si>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</si>
  <si>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</si>
  <si>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</si>
  <si>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</si>
  <si>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</si>
  <si>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</si>
  <si>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</si>
  <si>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</si>
  <si>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</si>
  <si>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</si>
  <si>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</si>
  <si>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</si>
  <si>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</si>
  <si>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</si>
  <si>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</si>
  <si>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</si>
  <si>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</si>
  <si>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</si>
  <si>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</si>
  <si>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</si>
  <si>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</si>
  <si>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</si>
  <si>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</si>
  <si>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</si>
  <si>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</si>
  <si>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</si>
  <si>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</si>
  <si>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</si>
  <si>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</si>
  <si>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</si>
  <si>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</si>
  <si>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</si>
  <si>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</si>
  <si>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</si>
  <si>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</si>
  <si>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</si>
  <si>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</si>
  <si>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</si>
  <si>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</si>
  <si>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</si>
  <si>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</si>
  <si>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</si>
  <si>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</si>
  <si>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</si>
  <si>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</si>
  <si>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</si>
  <si>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</si>
  <si>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</si>
  <si>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</si>
  <si>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</si>
  <si>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</si>
  <si>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</si>
  <si>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</si>
  <si>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</si>
  <si>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</si>
  <si>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</si>
  <si>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</si>
  <si>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</si>
  <si>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</si>
  <si>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</si>
  <si>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</si>
  <si>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</si>
  <si>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</si>
  <si>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</si>
  <si>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</si>
  <si>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</si>
  <si>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</si>
  <si>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</si>
  <si>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</si>
  <si>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</si>
  <si>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</si>
  <si>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</si>
  <si>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</si>
  <si>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</si>
  <si>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</si>
  <si>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</si>
  <si>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</si>
  <si>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</si>
  <si>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</si>
  <si>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</si>
  <si>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</si>
  <si>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</si>
  <si>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</si>
  <si>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</si>
  <si>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</si>
  <si>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</si>
  <si>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</si>
  <si>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</si>
  <si>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</si>
  <si>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</si>
  <si>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</si>
  <si>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</si>
  <si>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</si>
  <si>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</si>
  <si>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</si>
  <si>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</si>
  <si>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</si>
  <si>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</si>
  <si>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</si>
  <si>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</si>
  <si>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</si>
  <si>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</si>
  <si>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</si>
  <si>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</si>
  <si>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</si>
  <si>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</si>
  <si>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</si>
  <si>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</si>
  <si>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</si>
  <si>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</si>
  <si>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</si>
  <si>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</si>
  <si>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</si>
  <si>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</si>
  <si>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</si>
  <si>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</si>
  <si>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</si>
  <si>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</si>
  <si>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</si>
  <si>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</si>
  <si>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</si>
  <si>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</si>
  <si>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</si>
  <si>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</si>
  <si>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</si>
  <si>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</si>
  <si>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</si>
  <si>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</si>
  <si>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</si>
  <si>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</si>
  <si>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</si>
  <si>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</si>
  <si>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</si>
  <si>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</si>
  <si>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</si>
  <si>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</si>
  <si>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</si>
  <si>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</si>
  <si>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</si>
  <si>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</si>
  <si>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</si>
  <si>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</si>
  <si>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</si>
  <si>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</si>
  <si>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</si>
  <si>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</si>
  <si>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</si>
  <si>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</si>
  <si>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</si>
  <si>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</si>
  <si>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</si>
  <si>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</si>
  <si>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</si>
  <si>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</si>
  <si>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</si>
  <si>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</si>
  <si>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</si>
  <si>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</si>
  <si>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</si>
  <si>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</si>
  <si>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</si>
  <si>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</si>
  <si>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</si>
  <si>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</si>
  <si>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</si>
  <si>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</si>
  <si>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</si>
  <si>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</si>
  <si>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</si>
  <si>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</si>
  <si>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</si>
  <si>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</si>
  <si>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</si>
  <si>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</si>
  <si>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</si>
  <si>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</si>
  <si>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</si>
  <si>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</si>
  <si>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</si>
  <si>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</si>
  <si>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</si>
  <si>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</si>
  <si>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</si>
  <si>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</si>
  <si>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</si>
  <si>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</si>
  <si>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</si>
  <si>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</si>
  <si>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</si>
  <si>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</si>
  <si>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</si>
  <si>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</si>
  <si>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</si>
  <si>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</si>
  <si>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</si>
  <si>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</si>
  <si>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</si>
  <si>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</si>
  <si>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</si>
  <si>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</si>
  <si>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</si>
  <si>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</si>
  <si>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</si>
  <si>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</si>
  <si>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</si>
  <si>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</si>
  <si>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</si>
  <si>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</si>
  <si>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</si>
  <si>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</si>
  <si>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</si>
  <si>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</si>
  <si>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</si>
  <si>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</si>
  <si>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</si>
  <si>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</si>
  <si>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</si>
  <si>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</si>
  <si>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</si>
  <si>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</si>
  <si>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</si>
  <si>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</si>
  <si>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</si>
  <si>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</si>
  <si>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</si>
  <si>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</si>
  <si>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</si>
  <si>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</si>
  <si>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</si>
  <si>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</si>
  <si>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</si>
  <si>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</si>
  <si>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</si>
  <si>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</si>
  <si>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</si>
  <si>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</si>
  <si>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</si>
  <si>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</si>
  <si>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</si>
  <si>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</si>
  <si>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</si>
  <si>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</si>
  <si>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</si>
  <si>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</si>
  <si>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</si>
  <si>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</si>
  <si>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</si>
  <si>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</si>
  <si>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</si>
  <si>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</si>
  <si>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</si>
  <si>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</si>
  <si>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</si>
  <si>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</si>
  <si>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</si>
  <si>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</si>
  <si>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</si>
  <si>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</si>
  <si>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</si>
  <si>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</si>
  <si>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</si>
  <si>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</si>
  <si>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</si>
  <si>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</si>
  <si>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</si>
  <si>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</si>
  <si>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</si>
  <si>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</si>
  <si>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</si>
  <si>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</si>
  <si>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</si>
  <si>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</si>
  <si>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</si>
  <si>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</si>
  <si>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</si>
  <si>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</si>
  <si>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</si>
  <si>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</si>
  <si>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</si>
  <si>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</si>
  <si>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</si>
  <si>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</si>
  <si>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</si>
  <si>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</si>
  <si>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</si>
  <si>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</si>
  <si>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</si>
  <si>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</si>
  <si>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</si>
  <si>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</si>
  <si>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</si>
  <si>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</si>
  <si>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</si>
  <si>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</si>
  <si>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</si>
  <si>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</si>
  <si>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</si>
  <si>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</si>
  <si>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</si>
  <si>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</si>
  <si>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</si>
  <si>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</si>
  <si>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</si>
  <si>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</si>
  <si>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</si>
  <si>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</si>
  <si>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</si>
  <si>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</si>
  <si>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</si>
  <si>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</si>
  <si>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</si>
  <si>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</si>
  <si>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</si>
  <si>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</si>
  <si>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</si>
  <si>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</si>
  <si>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</si>
  <si>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</si>
  <si>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</si>
  <si>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</si>
  <si>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</si>
  <si>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</si>
  <si>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</si>
  <si>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</si>
  <si>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</si>
  <si>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</si>
  <si>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</si>
  <si>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</si>
  <si>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</si>
  <si>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</si>
  <si>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</si>
  <si>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</si>
  <si>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</si>
  <si>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</si>
  <si>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</si>
  <si>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</si>
  <si>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</si>
  <si>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</si>
  <si>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</si>
  <si>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</si>
  <si>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</si>
  <si>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</si>
  <si>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</si>
  <si>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</si>
  <si>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</si>
  <si>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</si>
  <si>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</si>
  <si>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</si>
  <si>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</si>
  <si>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</si>
  <si>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</si>
  <si>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</si>
  <si>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</si>
  <si>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</si>
  <si>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</si>
  <si>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</si>
  <si>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</si>
  <si>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</si>
  <si>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</si>
  <si>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</si>
  <si>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</si>
  <si>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</si>
  <si>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</si>
  <si>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</si>
  <si>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</si>
  <si>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</si>
  <si>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</si>
  <si>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</si>
  <si>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</si>
  <si>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</si>
  <si>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</si>
  <si>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</si>
  <si>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</si>
  <si>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</si>
  <si>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</si>
  <si>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</si>
  <si>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</si>
  <si>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</si>
  <si>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</si>
  <si>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</si>
  <si>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</si>
  <si>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</si>
  <si>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</si>
  <si>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</si>
  <si>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</si>
  <si>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</si>
  <si>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</si>
  <si>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</si>
  <si>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</si>
  <si>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</si>
  <si>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</si>
  <si>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</si>
  <si>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</si>
  <si>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</si>
  <si>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</si>
  <si>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</si>
  <si>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</si>
  <si>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</si>
  <si>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</si>
  <si>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</si>
  <si>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</si>
  <si>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</si>
  <si>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</si>
  <si>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</si>
  <si>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</si>
  <si>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</si>
  <si>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</si>
  <si>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</si>
  <si>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</si>
  <si>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</si>
  <si>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</si>
  <si>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</si>
  <si>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</si>
  <si>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</si>
  <si>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</si>
  <si>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</si>
  <si>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</si>
  <si>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</si>
  <si>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</si>
  <si>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</si>
  <si>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</si>
  <si>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</si>
  <si>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</si>
  <si>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</si>
  <si>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</si>
  <si>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</si>
  <si>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</si>
  <si>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</si>
  <si>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</si>
  <si>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</si>
  <si>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</si>
  <si>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</si>
  <si>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</si>
  <si>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</si>
  <si>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</si>
  <si>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</si>
  <si>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</si>
  <si>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</si>
  <si>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</si>
  <si>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</si>
  <si>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</si>
  <si>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</si>
  <si>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</si>
  <si>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</si>
  <si>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</si>
  <si>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</si>
  <si>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</si>
  <si>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</si>
  <si>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</si>
  <si>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</si>
  <si>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</si>
  <si>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</si>
  <si>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</si>
  <si>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</si>
  <si>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</si>
  <si>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</si>
  <si>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</si>
  <si>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</si>
  <si>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</si>
  <si>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</si>
  <si>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</si>
  <si>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</si>
  <si>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</si>
  <si>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</si>
  <si>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</si>
  <si>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</si>
  <si>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</si>
  <si>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</si>
  <si>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</si>
  <si>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</si>
  <si>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</si>
  <si>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</si>
  <si>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</si>
  <si>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</si>
  <si>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</si>
  <si>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</si>
  <si>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</si>
  <si>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</si>
  <si>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</si>
  <si>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</si>
  <si>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</si>
  <si>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</si>
  <si>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</si>
  <si>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</si>
  <si>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</si>
  <si>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</si>
  <si>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</si>
  <si>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</si>
  <si>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</si>
  <si>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</si>
  <si>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</si>
  <si>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</si>
  <si>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</si>
  <si>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</si>
  <si>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</si>
  <si>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</si>
  <si>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</si>
  <si>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</si>
  <si>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</si>
  <si>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</si>
  <si>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</si>
  <si>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</si>
  <si>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</si>
  <si>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</si>
  <si>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</si>
  <si>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</si>
  <si>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</si>
  <si>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</si>
  <si>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</si>
  <si>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</si>
  <si>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</si>
  <si>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</si>
  <si>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</si>
  <si>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</si>
  <si>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</si>
  <si>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</si>
  <si>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</si>
  <si>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</si>
  <si>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</si>
  <si>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</si>
  <si>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</si>
  <si>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</si>
  <si>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</si>
  <si>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</si>
  <si>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</si>
  <si>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</si>
  <si>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</si>
  <si>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</si>
  <si>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</si>
  <si>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</si>
  <si>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</si>
  <si>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</si>
  <si>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</si>
  <si>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</si>
  <si>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</si>
  <si>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</si>
  <si>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</si>
  <si>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</si>
  <si>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</si>
  <si>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</si>
  <si>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</si>
  <si>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</si>
  <si>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</si>
  <si>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</si>
  <si>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</si>
  <si>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</si>
  <si>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</si>
  <si>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</si>
  <si>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</si>
  <si>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</si>
  <si>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</si>
  <si>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</si>
  <si>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</si>
  <si>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</si>
  <si>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</si>
  <si>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</si>
  <si>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</si>
  <si>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</si>
  <si>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</si>
  <si>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</si>
  <si>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</si>
  <si>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</si>
  <si>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</si>
  <si>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</si>
  <si>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</si>
  <si>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</si>
  <si>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</si>
  <si>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</si>
  <si>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</si>
  <si>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</si>
  <si>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</si>
  <si>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</si>
  <si>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</si>
  <si>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</si>
  <si>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</si>
  <si>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</si>
  <si>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</si>
  <si>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</si>
  <si>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</si>
  <si>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</si>
  <si>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</si>
  <si>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</si>
  <si>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</si>
  <si>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</si>
  <si>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</si>
  <si>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</si>
  <si>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</si>
  <si>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</si>
  <si>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</si>
  <si>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</si>
  <si>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</si>
  <si>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</si>
  <si>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</si>
  <si>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</si>
  <si>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</si>
  <si>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</si>
  <si>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</si>
  <si>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</si>
  <si>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</si>
  <si>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</si>
  <si>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</si>
  <si>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</si>
  <si>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</si>
  <si>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</si>
  <si>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</si>
  <si>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</si>
  <si>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</si>
  <si>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</si>
  <si>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</si>
  <si>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</si>
  <si>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</si>
  <si>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</si>
  <si>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</si>
  <si>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</si>
  <si>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</si>
  <si>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</si>
  <si>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</si>
  <si>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</si>
  <si>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</si>
  <si>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</si>
  <si>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</si>
  <si>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</si>
  <si>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</si>
  <si>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</si>
  <si>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</si>
  <si>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</si>
  <si>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</si>
  <si>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</si>
  <si>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</si>
  <si>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</si>
  <si>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</si>
  <si>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</si>
  <si>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</si>
  <si>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</si>
  <si>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</si>
  <si>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</si>
  <si>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</si>
  <si>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</si>
  <si>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</si>
  <si>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</si>
  <si>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</si>
  <si>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</si>
  <si>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</si>
  <si>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</si>
  <si>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</si>
  <si>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</si>
  <si>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</si>
  <si>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</si>
  <si>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</si>
  <si>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</si>
  <si>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</si>
  <si>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</si>
  <si>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</si>
  <si>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</si>
  <si>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</si>
  <si>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</si>
  <si>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</si>
  <si>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</si>
  <si>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</si>
  <si>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</si>
  <si>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</si>
  <si>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</si>
  <si>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</si>
  <si>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</si>
  <si>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</si>
  <si>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</si>
  <si>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</si>
  <si>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</si>
  <si>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</si>
  <si>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</si>
  <si>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</si>
  <si>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</si>
  <si>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</si>
  <si>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</si>
  <si>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</si>
  <si>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</si>
  <si>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</si>
  <si>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</si>
  <si>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</si>
  <si>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</si>
  <si>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</si>
  <si>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</si>
  <si>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</si>
  <si>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</si>
  <si>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</si>
  <si>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</si>
  <si>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</si>
  <si>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</si>
  <si>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</si>
  <si>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</si>
  <si>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</si>
  <si>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</si>
  <si>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</si>
  <si>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</si>
  <si>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</si>
  <si>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</si>
  <si>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</si>
  <si>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</si>
  <si>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</si>
  <si>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</si>
  <si>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</si>
  <si>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</si>
  <si>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</si>
  <si>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</si>
  <si>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</si>
  <si>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</si>
  <si>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</si>
  <si>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</si>
  <si>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</si>
  <si>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</si>
  <si>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</si>
  <si>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</si>
  <si>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</si>
  <si>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</si>
  <si>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</si>
  <si>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</si>
  <si>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</si>
  <si>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</si>
  <si>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</si>
  <si>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</si>
  <si>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</si>
  <si>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</si>
  <si>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</si>
  <si>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</si>
  <si>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</si>
  <si>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</si>
  <si>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</si>
  <si>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</si>
  <si>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</si>
  <si>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</si>
  <si>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</si>
  <si>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</si>
  <si>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</si>
  <si>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</si>
  <si>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</si>
  <si>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</si>
  <si>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</si>
  <si>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</si>
  <si>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</si>
  <si>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</si>
  <si>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</si>
  <si>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</si>
  <si>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</si>
  <si>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</si>
  <si>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</si>
  <si>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</si>
  <si>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</si>
  <si>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</si>
  <si>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</si>
  <si>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</si>
  <si>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</si>
  <si>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</si>
  <si>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</si>
  <si>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</si>
  <si>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</si>
  <si>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</si>
  <si>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</si>
  <si>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</si>
  <si>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</si>
  <si>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</si>
  <si>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</si>
  <si>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</si>
  <si>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</si>
  <si>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</si>
  <si>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</si>
  <si>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</si>
  <si>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</si>
  <si>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</si>
  <si>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</si>
  <si>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</si>
  <si>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</si>
  <si>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</si>
  <si>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</si>
  <si>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</si>
  <si>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</si>
  <si>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</si>
  <si>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</si>
  <si>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</si>
  <si>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</si>
  <si>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</si>
  <si>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</si>
  <si>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</si>
  <si>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</si>
  <si>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</si>
  <si>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</si>
  <si>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</si>
  <si>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</si>
  <si>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</si>
  <si>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</si>
  <si>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</si>
  <si>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</si>
  <si>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</si>
  <si>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</si>
  <si>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</si>
  <si>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</si>
  <si>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</si>
  <si>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</si>
  <si>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</si>
  <si>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</si>
  <si>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</si>
  <si>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</si>
  <si>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</si>
  <si>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</si>
  <si>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</si>
  <si>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</si>
  <si>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</si>
  <si>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</si>
  <si>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</si>
  <si>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</si>
  <si>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</si>
  <si>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</si>
  <si>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</si>
  <si>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</si>
  <si>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</si>
  <si>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</si>
  <si>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</si>
  <si>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</si>
  <si>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</si>
  <si>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</si>
  <si>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</si>
  <si>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</si>
  <si>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</si>
  <si>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</si>
  <si>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</si>
  <si>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</si>
  <si>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</si>
  <si>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</si>
  <si>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</si>
  <si>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</si>
  <si>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</si>
  <si>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</si>
  <si>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</si>
  <si>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</si>
  <si>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</si>
  <si>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</si>
  <si>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</si>
  <si>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</si>
  <si>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</si>
  <si>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</si>
  <si>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</si>
  <si>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</si>
  <si>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</si>
  <si>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</si>
  <si>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</si>
  <si>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</si>
  <si>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</si>
  <si>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</si>
  <si>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</si>
  <si>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</si>
  <si>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</si>
  <si>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</si>
  <si>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</si>
  <si>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</si>
  <si>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</si>
  <si>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</si>
  <si>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</si>
  <si>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</si>
  <si>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</si>
  <si>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</si>
  <si>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</si>
  <si>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</si>
  <si>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</si>
  <si>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</si>
  <si>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</si>
  <si>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</si>
  <si>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</si>
  <si>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</si>
  <si>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</si>
  <si>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</si>
  <si>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</si>
  <si>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</si>
  <si>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</si>
  <si>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</si>
  <si>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</si>
  <si>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</si>
  <si>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</si>
  <si>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</si>
  <si>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</si>
  <si>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</si>
  <si>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</si>
  <si>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</si>
  <si>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</si>
  <si>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</si>
  <si>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</si>
  <si>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</si>
  <si>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</si>
  <si>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</si>
  <si>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</si>
  <si>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</si>
  <si>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</si>
  <si>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</si>
  <si>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</si>
  <si>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</si>
  <si>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</si>
  <si>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</si>
  <si>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</si>
  <si>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</si>
  <si>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</si>
  <si>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</si>
  <si>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</si>
  <si>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</si>
  <si>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</si>
  <si>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</si>
  <si>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</si>
  <si>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</si>
  <si>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</si>
  <si>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</si>
  <si>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</si>
  <si>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</si>
  <si>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</si>
  <si>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</si>
  <si>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</si>
  <si>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</si>
  <si>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</si>
  <si>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</si>
  <si>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</si>
  <si>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</si>
  <si>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</si>
  <si>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</si>
  <si>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</si>
  <si>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</si>
  <si>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</si>
  <si>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</si>
  <si>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</si>
  <si>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</si>
  <si>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</si>
  <si>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</si>
  <si>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</si>
  <si>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</si>
  <si>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</si>
  <si>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</si>
  <si>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</si>
  <si>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</si>
  <si>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</si>
  <si>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</si>
  <si>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</si>
  <si>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</si>
  <si>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</si>
  <si>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</si>
  <si>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</si>
  <si>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</si>
  <si>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</si>
  <si>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</si>
  <si>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</si>
  <si>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</si>
  <si>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</si>
  <si>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</si>
  <si>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</si>
  <si>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</si>
  <si>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</si>
  <si>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</si>
  <si>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</si>
  <si>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</si>
  <si>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</si>
  <si>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</si>
  <si>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</si>
  <si>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</si>
  <si>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</si>
  <si>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</si>
  <si>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</si>
  <si>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</si>
  <si>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</si>
  <si>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</si>
  <si>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</si>
  <si>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</si>
  <si>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</si>
  <si>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</si>
  <si>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</si>
  <si>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</si>
  <si>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</si>
  <si>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</si>
  <si>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</si>
  <si>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</si>
  <si>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</si>
  <si>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</si>
  <si>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</si>
  <si>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</si>
  <si>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</si>
  <si>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</si>
  <si>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</si>
  <si>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</si>
  <si>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</si>
  <si>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</si>
  <si>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</si>
  <si>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</si>
  <si>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</si>
  <si>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</si>
  <si>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</si>
  <si>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</si>
  <si>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</si>
  <si>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</si>
  <si>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</si>
  <si>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</si>
  <si>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</si>
  <si>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</si>
  <si>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</si>
  <si>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</si>
  <si>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</si>
  <si>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</si>
  <si>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</si>
  <si>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</si>
  <si>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</si>
  <si>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</si>
  <si>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</si>
  <si>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</si>
  <si>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</si>
  <si>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</si>
  <si>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</si>
  <si>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</si>
  <si>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</si>
  <si>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</si>
  <si>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</si>
  <si>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</si>
  <si>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</si>
  <si>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</si>
  <si>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</si>
  <si>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</si>
  <si>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</si>
  <si>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</si>
  <si>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</si>
  <si>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</si>
  <si>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</si>
  <si>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</si>
  <si>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</si>
  <si>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</si>
  <si>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</si>
  <si>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</si>
  <si>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</si>
  <si>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</si>
  <si>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</si>
  <si>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</si>
  <si>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</si>
  <si>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</si>
  <si>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</si>
  <si>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</si>
  <si>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</si>
  <si>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</si>
  <si>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</si>
  <si>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</si>
  <si>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</si>
  <si>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</si>
  <si>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</si>
  <si>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</si>
  <si>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</si>
  <si>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</si>
  <si>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</si>
  <si>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</si>
  <si>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</si>
  <si>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</si>
  <si>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</si>
  <si>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</si>
  <si>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</si>
  <si>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</si>
  <si>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</si>
  <si>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</si>
  <si>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</si>
  <si>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</si>
  <si>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</si>
  <si>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</si>
  <si>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</si>
  <si>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</si>
  <si>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</si>
  <si>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</si>
  <si>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</si>
  <si>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</si>
  <si>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</si>
  <si>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</si>
  <si>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</si>
  <si>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</si>
  <si>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</si>
  <si>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</si>
  <si>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</si>
  <si>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</si>
  <si>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</si>
  <si>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</si>
  <si>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</si>
  <si>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</si>
  <si>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</si>
  <si>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</si>
  <si>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</si>
  <si>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</si>
  <si>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</si>
  <si>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</si>
  <si>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</si>
  <si>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</si>
  <si>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</si>
  <si>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</si>
  <si>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</si>
  <si>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</si>
  <si>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</si>
  <si>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</si>
  <si>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</si>
  <si>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</si>
  <si>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</si>
  <si>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</si>
  <si>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</si>
  <si>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</si>
  <si>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</si>
  <si>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</si>
  <si>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</si>
  <si>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</si>
  <si>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</si>
  <si>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</si>
  <si>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</si>
  <si>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</si>
  <si>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</si>
  <si>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</si>
  <si>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</si>
  <si>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</si>
  <si>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</si>
  <si>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</si>
  <si>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</si>
  <si>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</si>
  <si>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</si>
  <si>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</si>
  <si>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</si>
  <si>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</si>
  <si>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</si>
  <si>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</si>
  <si>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</si>
  <si>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</si>
  <si>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</si>
  <si>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</si>
  <si>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</si>
  <si>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</si>
  <si>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</si>
  <si>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</si>
  <si>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</si>
  <si>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</si>
  <si>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</si>
  <si>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</si>
  <si>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</si>
  <si>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</si>
  <si>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</si>
  <si>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</si>
  <si>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</si>
  <si>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</si>
  <si>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</si>
  <si>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</si>
  <si>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</si>
  <si>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</si>
  <si>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</si>
  <si>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</si>
  <si>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</si>
  <si>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</si>
  <si>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</si>
  <si>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</si>
  <si>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</si>
  <si>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</si>
  <si>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</si>
  <si>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</si>
  <si>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</si>
  <si>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</si>
  <si>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</si>
  <si>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</si>
  <si>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</si>
  <si>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</si>
  <si>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</si>
  <si>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</si>
  <si>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</si>
  <si>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</si>
  <si>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</si>
  <si>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</si>
  <si>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</si>
  <si>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</si>
  <si>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</si>
  <si>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</si>
  <si>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</si>
  <si>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</si>
  <si>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</si>
  <si>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</si>
  <si>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</si>
  <si>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</si>
  <si>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</si>
  <si>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</si>
  <si>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</si>
  <si>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</si>
  <si>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</si>
  <si>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</si>
  <si>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</si>
  <si>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</si>
  <si>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</si>
  <si>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</si>
  <si>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</si>
  <si>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</si>
  <si>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</si>
  <si>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</si>
  <si>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</si>
  <si>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</si>
  <si>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</si>
  <si>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</si>
  <si>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</si>
  <si>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</si>
  <si>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</si>
  <si>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</si>
  <si>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</si>
  <si>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</si>
  <si>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</si>
  <si>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</si>
  <si>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</si>
  <si>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</si>
  <si>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</si>
  <si>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</si>
  <si>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</si>
  <si>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</si>
  <si>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</si>
  <si>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</si>
  <si>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</si>
  <si>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</si>
  <si>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</si>
  <si>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</si>
  <si>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</si>
  <si>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</si>
  <si>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</si>
  <si>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</si>
  <si>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</si>
  <si>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</si>
  <si>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</si>
  <si>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</si>
  <si>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</si>
  <si>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</si>
  <si>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</si>
  <si>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</si>
  <si>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</si>
  <si>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</si>
  <si>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</si>
  <si>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</si>
  <si>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</si>
  <si>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</si>
  <si>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</si>
  <si>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</si>
  <si>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</si>
  <si>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</si>
  <si>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</si>
  <si>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</si>
  <si>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</si>
  <si>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</si>
  <si>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</si>
  <si>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</si>
  <si>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</si>
  <si>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</si>
  <si>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</si>
  <si>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</si>
  <si>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</si>
  <si>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</si>
  <si>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</si>
  <si>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</si>
  <si>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</si>
  <si>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</si>
  <si>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</si>
  <si>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</si>
  <si>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</si>
  <si>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</si>
  <si>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</si>
  <si>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</si>
  <si>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</si>
  <si>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</si>
  <si>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</si>
  <si>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</si>
  <si>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</si>
  <si>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</si>
  <si>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</si>
  <si>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</si>
  <si>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</si>
  <si>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</si>
  <si>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</si>
  <si>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</si>
  <si>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</si>
  <si>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</si>
  <si>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</si>
  <si>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</si>
  <si>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</si>
  <si>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</si>
  <si>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</si>
  <si>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</si>
  <si>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</si>
  <si>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</si>
  <si>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</si>
  <si>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</si>
  <si>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</si>
  <si>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</si>
  <si>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</si>
  <si>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</si>
  <si>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</si>
  <si>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</si>
  <si>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</si>
  <si>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</si>
  <si>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</si>
  <si>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</si>
  <si>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</si>
  <si>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</si>
  <si>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</si>
  <si>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</si>
  <si>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</si>
  <si>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</si>
  <si>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</si>
  <si>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</si>
  <si>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</si>
  <si>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</si>
  <si>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</si>
  <si>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</si>
  <si>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</si>
  <si>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</si>
  <si>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</si>
  <si>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</si>
  <si>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</si>
  <si>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</si>
  <si>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</si>
  <si>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</si>
  <si>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</si>
  <si>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</si>
  <si>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</si>
  <si>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</si>
  <si>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</si>
  <si>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</si>
  <si>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</si>
  <si>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</si>
  <si>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</si>
  <si>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</si>
  <si>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</si>
  <si>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</si>
  <si>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</si>
  <si>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</si>
  <si>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</si>
  <si>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</si>
  <si>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</si>
  <si>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</si>
  <si>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</si>
  <si>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</si>
  <si>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</si>
  <si>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</si>
  <si>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</si>
  <si>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</si>
  <si>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</si>
  <si>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</si>
  <si>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</si>
  <si>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</si>
  <si>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</si>
  <si>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</si>
  <si>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</si>
  <si>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</si>
  <si>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</si>
  <si>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</si>
  <si>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</si>
  <si>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</si>
  <si>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</si>
  <si>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</si>
  <si>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</si>
  <si>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</si>
  <si>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</si>
  <si>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</si>
  <si>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</si>
  <si>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</si>
  <si>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</si>
  <si>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</si>
  <si>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</si>
  <si>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</si>
  <si>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</si>
  <si>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</si>
  <si>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</si>
  <si>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</si>
  <si>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</si>
  <si>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</si>
  <si>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</si>
  <si>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</si>
  <si>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</si>
  <si>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</si>
  <si>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</si>
  <si>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</si>
  <si>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</si>
  <si>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</si>
  <si>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</si>
  <si>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</si>
  <si>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</si>
  <si>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</si>
  <si>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</si>
  <si>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</si>
  <si>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</si>
  <si>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</si>
  <si>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</si>
  <si>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</si>
  <si>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</si>
  <si>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</si>
  <si>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</si>
  <si>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</si>
  <si>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</si>
  <si>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</si>
  <si>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</si>
  <si>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</si>
  <si>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</si>
  <si>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</si>
  <si>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</si>
  <si>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</si>
  <si>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</si>
  <si>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</si>
  <si>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</si>
  <si>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</si>
  <si>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</si>
  <si>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</si>
  <si>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</si>
  <si>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</si>
  <si>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</si>
  <si>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</si>
  <si>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</si>
  <si>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</si>
  <si>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</si>
  <si>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</si>
  <si>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</si>
  <si>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</si>
  <si>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</si>
  <si>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</si>
  <si>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</si>
  <si>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</si>
  <si>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</si>
  <si>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</si>
  <si>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</si>
  <si>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</si>
  <si>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</si>
  <si>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</si>
  <si>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</si>
  <si>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</si>
  <si>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</si>
  <si>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</si>
  <si>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</si>
  <si>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</si>
  <si>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</si>
  <si>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</si>
  <si>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</si>
  <si>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</si>
  <si>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</si>
  <si>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</si>
  <si>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</si>
  <si>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</si>
  <si>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</si>
  <si>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</si>
  <si>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</si>
  <si>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</si>
  <si>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</si>
  <si>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</si>
  <si>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</si>
  <si>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</si>
  <si>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</si>
  <si>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</si>
  <si>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</si>
  <si>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</si>
  <si>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</si>
  <si>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</si>
  <si>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</si>
  <si>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</si>
  <si>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</si>
  <si>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</si>
  <si>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</si>
  <si>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</si>
  <si>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</si>
  <si>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</si>
  <si>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</si>
  <si>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</si>
  <si>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</si>
  <si>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</si>
  <si>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</si>
  <si>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</si>
  <si>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</si>
  <si>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</si>
  <si>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</si>
  <si>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</si>
  <si>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</si>
  <si>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</si>
  <si>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</si>
  <si>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</si>
  <si>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</si>
  <si>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</si>
  <si>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</si>
  <si>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</si>
  <si>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</si>
  <si>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</si>
  <si>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</si>
  <si>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</si>
  <si>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</si>
  <si>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</si>
  <si>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</si>
  <si>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</si>
  <si>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</si>
  <si>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</si>
  <si>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</si>
  <si>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</si>
  <si>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</si>
  <si>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</si>
  <si>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</si>
  <si>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</si>
  <si>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</si>
  <si>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</si>
  <si>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</si>
  <si>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</si>
  <si>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</si>
  <si>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</si>
  <si>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</si>
  <si>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</si>
  <si>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</si>
  <si>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</si>
  <si>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</si>
  <si>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</si>
  <si>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</si>
  <si>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</si>
  <si>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</si>
  <si>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</si>
  <si>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</si>
  <si>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</si>
  <si>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</si>
  <si>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</si>
  <si>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</si>
  <si>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</si>
  <si>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</si>
  <si>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</si>
  <si>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</si>
  <si>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</si>
  <si>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</si>
  <si>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</si>
  <si>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</si>
  <si>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</si>
  <si>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</si>
  <si>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</si>
  <si>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</si>
  <si>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</si>
  <si>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</si>
  <si>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</si>
  <si>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</si>
  <si>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</si>
  <si>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</si>
  <si>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</si>
  <si>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</si>
  <si>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</si>
  <si>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</si>
  <si>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</si>
  <si>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</si>
  <si>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</si>
  <si>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</si>
  <si>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</si>
  <si>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</si>
  <si>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</si>
  <si>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</si>
  <si>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</si>
  <si>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</si>
  <si>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</si>
  <si>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</si>
  <si>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</si>
  <si>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</si>
  <si>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</si>
  <si>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</si>
  <si>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</si>
  <si>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</si>
  <si>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</si>
  <si>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</si>
  <si>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</si>
  <si>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</si>
  <si>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</si>
  <si>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</si>
  <si>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</si>
  <si>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</si>
  <si>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</si>
  <si>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</si>
  <si>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</si>
  <si>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</si>
  <si>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</si>
  <si>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</si>
  <si>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</si>
  <si>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</si>
  <si>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</si>
  <si>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</si>
  <si>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</si>
  <si>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</si>
  <si>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</si>
  <si>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</si>
  <si>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</si>
  <si>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</si>
  <si>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</si>
  <si>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</si>
  <si>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</si>
  <si>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</si>
  <si>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</si>
  <si>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</si>
  <si>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</si>
  <si>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</si>
  <si>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</si>
  <si>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</si>
  <si>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</si>
  <si>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</si>
  <si>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</si>
  <si>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</si>
  <si>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</si>
  <si>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</si>
  <si>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</si>
  <si>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</si>
  <si>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</si>
  <si>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</si>
  <si>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</si>
  <si>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</si>
  <si>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</si>
  <si>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</si>
  <si>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</si>
  <si>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</si>
  <si>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</si>
  <si>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</si>
  <si>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</si>
  <si>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</si>
  <si>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</si>
  <si>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</si>
  <si>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</si>
  <si>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</si>
  <si>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</si>
  <si>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</si>
  <si>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</si>
  <si>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</si>
  <si>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</si>
  <si>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</si>
  <si>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</si>
  <si>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</si>
  <si>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</si>
  <si>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</si>
  <si>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</si>
  <si>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</si>
  <si>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</si>
  <si>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</si>
  <si>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</si>
  <si>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</si>
  <si>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</si>
  <si>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</si>
  <si>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</si>
  <si>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</si>
  <si>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</si>
  <si>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</si>
  <si>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</si>
  <si>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</si>
  <si>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</si>
  <si>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</si>
  <si>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</si>
  <si>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</si>
  <si>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</si>
  <si>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</si>
  <si>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</si>
  <si>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</si>
  <si>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</si>
  <si>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</si>
  <si>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</si>
  <si>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</si>
  <si>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</si>
  <si>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</si>
  <si>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</si>
  <si>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</si>
  <si>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</si>
  <si>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</si>
  <si>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</si>
  <si>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</si>
  <si>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</si>
  <si>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</si>
  <si>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</si>
  <si>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</si>
  <si>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</si>
  <si>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</si>
  <si>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</si>
  <si>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</si>
  <si>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</si>
  <si>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</si>
  <si>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</si>
  <si>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</si>
  <si>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</si>
  <si>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</si>
  <si>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</si>
  <si>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</si>
  <si>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</si>
  <si>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</si>
  <si>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</si>
  <si>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</si>
  <si>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</si>
  <si>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</si>
  <si>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</si>
  <si>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</si>
  <si>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</si>
  <si>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</si>
  <si>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</si>
  <si>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</si>
  <si>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</si>
  <si>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</si>
  <si>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</si>
  <si>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</si>
  <si>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</si>
  <si>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</si>
  <si>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</si>
  <si>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</si>
  <si>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</si>
  <si>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</si>
  <si>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</si>
  <si>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</si>
  <si>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</si>
  <si>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</si>
  <si>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</si>
  <si>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</si>
  <si>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</si>
  <si>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</si>
  <si>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</si>
  <si>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</si>
  <si>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</si>
  <si>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</si>
  <si>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</si>
  <si>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</si>
  <si>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</si>
  <si>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Month</t>
  </si>
  <si>
    <t>Quarter</t>
  </si>
  <si>
    <t>Row Labels</t>
  </si>
  <si>
    <t>Apr-2023</t>
  </si>
  <si>
    <t>Apr-2024</t>
  </si>
  <si>
    <t>Apr-2025</t>
  </si>
  <si>
    <t>Aug-2023</t>
  </si>
  <si>
    <t>Aug-2024</t>
  </si>
  <si>
    <t>Dec-2023</t>
  </si>
  <si>
    <t>Dec-2024</t>
  </si>
  <si>
    <t>Feb-2023</t>
  </si>
  <si>
    <t>Feb-2024</t>
  </si>
  <si>
    <t>Feb-2025</t>
  </si>
  <si>
    <t>Jan-2023</t>
  </si>
  <si>
    <t>Jan-2024</t>
  </si>
  <si>
    <t>Jan-2025</t>
  </si>
  <si>
    <t>Jul-2023</t>
  </si>
  <si>
    <t>Jul-2024</t>
  </si>
  <si>
    <t>Jun-2023</t>
  </si>
  <si>
    <t>Jun-2024</t>
  </si>
  <si>
    <t>Jun-2025</t>
  </si>
  <si>
    <t>Mar-2023</t>
  </si>
  <si>
    <t>Mar-2024</t>
  </si>
  <si>
    <t>Mar-2025</t>
  </si>
  <si>
    <t>May-2023</t>
  </si>
  <si>
    <t>May-2024</t>
  </si>
  <si>
    <t>May-2025</t>
  </si>
  <si>
    <t>Nov-2023</t>
  </si>
  <si>
    <t>Nov-2024</t>
  </si>
  <si>
    <t>Oct-2023</t>
  </si>
  <si>
    <t>Oct-2024</t>
  </si>
  <si>
    <t>Sep-2023</t>
  </si>
  <si>
    <t>Sep-2024</t>
  </si>
  <si>
    <t>Grand Total</t>
  </si>
  <si>
    <t>Sum of TotalPrice</t>
  </si>
  <si>
    <t>2023  Q10</t>
  </si>
  <si>
    <t>2023  Q11</t>
  </si>
  <si>
    <t>2023  Q12</t>
  </si>
  <si>
    <t>2023  Q13</t>
  </si>
  <si>
    <t>2023  Q14</t>
  </si>
  <si>
    <t>2023  Q15</t>
  </si>
  <si>
    <t>2024  Q10</t>
  </si>
  <si>
    <t>2024  Q15</t>
  </si>
  <si>
    <t>2024  Q4</t>
  </si>
  <si>
    <t>2024  Q5</t>
  </si>
  <si>
    <t>2024  Q6</t>
  </si>
  <si>
    <t>2024  Q7</t>
  </si>
  <si>
    <t>2024  Q8</t>
  </si>
  <si>
    <t>2024  Q9</t>
  </si>
  <si>
    <t>2025  Q10</t>
  </si>
  <si>
    <t>2025  Q11</t>
  </si>
  <si>
    <t>2025  Q12</t>
  </si>
  <si>
    <t>Column Labels</t>
  </si>
  <si>
    <t>Sum of Quantity</t>
  </si>
  <si>
    <t>Sales Performance Dashboard 2023–2025</t>
  </si>
  <si>
    <t>Total Revenue</t>
  </si>
  <si>
    <t xml:space="preserve">Total Orders </t>
  </si>
  <si>
    <t>Avg Order Value</t>
  </si>
  <si>
    <t>Units Sold</t>
  </si>
  <si>
    <t xml:space="preserve">Sales Performance Dashboard </t>
  </si>
  <si>
    <t>Created by: Sindhura Nair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</si>
</sst>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Trebuchet MS"/>
      <family val="2"/>
      <scheme val="minor"/>
    </font>
    <font>
      <b/>
      <sz val="11"/>
      <color theme="1"/>
      <name val="Trebuchet MS"/>
      <family val="2"/>
      <scheme val="minor"/>
    </font>
    <font>
      <b/>
      <sz val="20"/>
      <color theme="0"/>
      <name val="Arial Black"/>
      <family val="2"/>
    </font>
    <font>
      <sz val="20"/>
      <color theme="0"/>
      <name val="Arial Black"/>
      <family val="2"/>
    </font>
    <font>
      <sz val="20"/>
      <color theme="0"/>
      <name val="Trebuchet MS"/>
      <family val="2"/>
      <scheme val="minor"/>
    </font>
    <font>
      <sz val="22"/>
      <color theme="0"/>
      <name val="Arial Black"/>
      <family val="2"/>
    </font>
    <font>
      <sz val="28"/>
      <color theme="0"/>
      <name val="Arial Black"/>
      <family val="2"/>
    </font>
    <font>
      <sz val="20"/>
      <color theme="1"/>
      <name val="Arial Black"/>
      <family val="2"/>
    </font>
    <font>
      <sz val="16"/>
      <color theme="0"/>
      <name val="Arial Black"/>
      <family val="2"/>
    </font>
    <font>
      <sz val="16"/>
      <color theme="0"/>
      <name val="Trebuchet MS"/>
      <family val="2"/>
      <scheme val="minor"/>
    </font>
  </fonts>
  <fills count="8">
    <fill>
      <patternFill patternType="none"/>
    </fill>
    <fill>
      <patternFill patternType="gray125"/>
    </fill>
    <fill>
      <patternFill patternType="solid">
        <fgColor rgb="FF1F3864"/>
        <bgColor indexed="64"/>
      </patternFill>
    </fill>
    <fill>
      <patternFill patternType="solid">
        <fgColor rgb="FF00B0F0"/>
        <bgColor indexed="64"/>
      </patternFill>
    </fill>
    <fill>
      <patternFill patternType="solid">
        <fgColor rgb="FF70AD47"/>
        <bgColor indexed="64"/>
      </patternFill>
    </fill>
    <fill>
      <patternFill patternType="solid">
        <fgColor rgb="FFED7D31"/>
        <bgColor indexed="64"/>
      </patternFill>
    </fill>
    <fill>
      <patternFill patternType="solid">
        <fgColor rgb="FF7030A0"/>
        <bgColor indexed="64"/>
      </patternFill>
    </fill>
    <fill>
      <patternFill patternType="solid">
        <fgColor theme="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2" borderId="0" xfId="0" applyFill="1" applyAlignment="1">
      <alignment horizontal="center"/>
    </xf>
    <xf numFmtId="0" fontId="6" fillId="2" borderId="0" xfId="0" applyFont="1" applyFill="1" applyAlignment="1">
      <alignment horizontal="center"/>
    </xf>
    <xf numFmtId="0" fontId="5" fillId="6" borderId="0" xfId="0"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center"/>
    </xf>
    <xf numFmtId="0" fontId="3" fillId="4" borderId="0" xfId="0" applyFont="1" applyFill="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3" fillId="5" borderId="0" xfId="0" applyFont="1" applyFill="1" applyAlignment="1">
      <alignment horizontal="center"/>
    </xf>
    <xf numFmtId="0" fontId="7" fillId="5" borderId="0" xfId="0" applyFont="1" applyFill="1" applyAlignment="1">
      <alignment horizontal="center"/>
    </xf>
    <xf numFmtId="0" fontId="9" fillId="2" borderId="0" xfId="0" applyFont="1" applyFill="1"/>
    <xf numFmtId="0" fontId="8" fillId="7" borderId="0" xfId="0" applyFont="1" applyFill="1"/>
  </cellXfs>
  <cellStyles count="1">
    <cellStyle name="Normal" xfId="0" builtinId="0"/>
  </cellStyles>
  <dxfs count="8">
    <dxf>
      <numFmt numFmtId="0" formatCode="General"/>
    </dxf>
    <dxf>
      <numFmt numFmtId="0" formatCode="Genera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030A0"/>
      <color rgb="FFED7D31"/>
      <color rgb="FF70AD47"/>
      <color rgb="FF77E3F5"/>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[Product-Sales-Region.xlsx]PT_Monthly!PivotTable1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none"/>
          </c:marker>
          <c:cat>
            <c:strRef>
              <c:f>PT_Monthly!$A$4:$A$34</c:f>
              <c:strCache>
                <c:ptCount val="30"/>
                <c:pt idx="0">
                  <c:v>Apr-2023</c:v>
                </c:pt>
                <c:pt idx="1">
                  <c:v>Apr-2024</c:v>
                </c:pt>
                <c:pt idx="2">
                  <c:v>Apr-2025</c:v>
                </c:pt>
                <c:pt idx="3">
                  <c:v>Aug-2023</c:v>
                </c:pt>
                <c:pt idx="4">
                  <c:v>Aug-2024</c:v>
                </c:pt>
                <c:pt idx="5">
                  <c:v>Dec-2023</c:v>
                </c:pt>
                <c:pt idx="6">
                  <c:v>Dec-2024</c:v>
                </c:pt>
                <c:pt idx="7">
                  <c:v>Feb-2023</c:v>
                </c:pt>
                <c:pt idx="8">
                  <c:v>Feb-2024</c:v>
                </c:pt>
                <c:pt idx="9">
                  <c:v>Feb-2025</c:v>
                </c:pt>
                <c:pt idx="10">
                  <c:v>Jan-2023</c:v>
                </c:pt>
                <c:pt idx="11">
                  <c:v>Jan-2024</c:v>
                </c:pt>
                <c:pt idx="12">
                  <c:v>Jan-2025</c:v>
                </c:pt>
                <c:pt idx="13">
                  <c:v>Jul-2023</c:v>
                </c:pt>
                <c:pt idx="14">
                  <c:v>Jul-2024</c:v>
                </c:pt>
                <c:pt idx="15">
                  <c:v>Jun-2023</c:v>
                </c:pt>
                <c:pt idx="16">
                  <c:v>Jun-2024</c:v>
                </c:pt>
                <c:pt idx="17">
                  <c:v>Jun-2025</c:v>
                </c:pt>
                <c:pt idx="18">
                  <c:v>Mar-2023</c:v>
                </c:pt>
                <c:pt idx="19">
                  <c:v>Mar-2024</c:v>
                </c:pt>
                <c:pt idx="20">
                  <c:v>Mar-2025</c:v>
                </c:pt>
                <c:pt idx="21">
                  <c:v>May-2023</c:v>
                </c:pt>
                <c:pt idx="22">
                  <c:v>May-2024</c:v>
                </c:pt>
                <c:pt idx="23">
                  <c:v>May-2025</c:v>
                </c:pt>
                <c:pt idx="24">
                  <c:v>Nov-2023</c:v>
                </c:pt>
                <c:pt idx="25">
                  <c:v>Nov-2024</c:v>
                </c:pt>
                <c:pt idx="26">
                  <c:v>Oct-2023</c:v>
                </c:pt>
                <c:pt idx="27">
                  <c:v>Oct-2024</c:v>
                </c:pt>
                <c:pt idx="28">
                  <c:v>Sep-2023</c:v>
                </c:pt>
                <c:pt idx="29">
                  <c:v>Sep-2024</c:v>
                </c:pt>
              </c:strCache>
            </c:strRef>
          </c:cat>
          <c:val>
            <c:numRef>
              <c:f>PT_Monthly!$B$4:$B$34</c:f>
              <c:numCache>
                <c:formatCode>General</c:formatCode>
                <c:ptCount val="30"/>
                <c:pt idx="0">
                  <c:v>149131.44849999994</c:v>
                </c:pt>
                <c:pt idx="1">
                  <c:v>165512.2635</c:v>
                </c:pt>
                <c:pt idx="2">
                  <c:v>128675.01449999999</c:v>
                </c:pt>
                <c:pt idx="3">
                  <c:v>159711.49749999997</c:v>
                </c:pt>
                <c:pt idx="4">
                  <c:v>129927.50599999999</c:v>
                </c:pt>
                <c:pt idx="5">
                  <c:v>119709.90149999998</c:v>
                </c:pt>
                <c:pt idx="6">
                  <c:v>143039.62049999999</c:v>
                </c:pt>
                <c:pt idx="7">
                  <c:v>141357.36599999998</c:v>
                </c:pt>
                <c:pt idx="8">
                  <c:v>135515.81449999998</c:v>
                </c:pt>
                <c:pt idx="9">
                  <c:v>138184.63300000006</c:v>
                </c:pt>
                <c:pt idx="10">
                  <c:v>152811.73499999999</c:v>
                </c:pt>
                <c:pt idx="11">
                  <c:v>174448.67350000003</c:v>
                </c:pt>
                <c:pt idx="12">
                  <c:v>171098.09299999999</c:v>
                </c:pt>
                <c:pt idx="13">
                  <c:v>139894.34000000003</c:v>
                </c:pt>
                <c:pt idx="14">
                  <c:v>140155.70749999999</c:v>
                </c:pt>
                <c:pt idx="15">
                  <c:v>134225.03049999996</c:v>
                </c:pt>
                <c:pt idx="16">
                  <c:v>163370.087</c:v>
                </c:pt>
                <c:pt idx="17">
                  <c:v>136666.55149999997</c:v>
                </c:pt>
                <c:pt idx="18">
                  <c:v>208548.69499999995</c:v>
                </c:pt>
                <c:pt idx="19">
                  <c:v>140348.48950000003</c:v>
                </c:pt>
                <c:pt idx="20">
                  <c:v>183193.76899999997</c:v>
                </c:pt>
                <c:pt idx="21">
                  <c:v>117265.8815</c:v>
                </c:pt>
                <c:pt idx="22">
                  <c:v>132792.53300000005</c:v>
                </c:pt>
                <c:pt idx="23">
                  <c:v>152349.61099999995</c:v>
                </c:pt>
                <c:pt idx="24">
                  <c:v>145156.33499999996</c:v>
                </c:pt>
                <c:pt idx="25">
                  <c:v>138174.285</c:v>
                </c:pt>
                <c:pt idx="26">
                  <c:v>78445.700500000035</c:v>
                </c:pt>
                <c:pt idx="27">
                  <c:v>178167.19649999996</c:v>
                </c:pt>
                <c:pt idx="28">
                  <c:v>151612.04550000001</c:v>
                </c:pt>
                <c:pt idx="29">
                  <c:v>130502.60349999995</c:v>
                </c:pt>
              </c:numCache>
            </c:numRef>
          </c:val>
          <c:smooth val="0"/>
          <c:extLst>
            <c:ext xmlns:c16="http://schemas.microsoft.com/office/drawing/2014/chart" uri="{C3380CC4-5D6E-409C-BE32-E72D297353CC}">
              <c16:uniqueId val="{00000000-ABCF-4DDA-B50C-FF0605DA4087}"/>
            </c:ext>
          </c:extLst>
        </c:ser>
        <c:dLbls>
          <c:showLegendKey val="0"/>
          <c:showVal val="0"/>
          <c:showCatName val="0"/>
          <c:showSerName val="0"/>
          <c:showPercent val="0"/>
          <c:showBubbleSize val="0"/>
        </c:dLbls>
        <c:smooth val="0"/>
        <c:axId val="672860303"/>
        <c:axId val="672860783"/>
      </c:lineChart>
      <c:catAx>
        <c:axId val="6728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0783"/>
        <c:crosses val="autoZero"/>
        <c:auto val="1"/>
        <c:lblAlgn val="ctr"/>
        <c:lblOffset val="100"/>
        <c:noMultiLvlLbl val="0"/>
      </c:catAx>
      <c:valAx>
        <c:axId val="67286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[Product-Sales-Region.xlsx]PT_Quarterly!PivotTable2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PT_Quarterly!$B$3</c:f>
              <c:strCache>
                <c:ptCount val="1"/>
                <c:pt idx="0">
                  <c:v>Total</c:v>
                </c:pt>
              </c:strCache>
            </c:strRef>
          </c:tx>
          <c:spPr>
            <a:solidFill>
              <a:schemeClr val="accent1"/>
            </a:solidFill>
            <a:ln>
              <a:noFill/>
            </a:ln>
            <a:effectLst/>
          </c:spPr>
          <c:invertIfNegative val="0"/>
          <c:cat>
            <c:strRef>
              <c:f>PT_Quarterly!$A$4:$A$21</c:f>
              <c:strCache>
                <c:ptCount val="17"/>
                <c:pt idx="0">
                  <c:v>2023  Q10</c:v>
                </c:pt>
                <c:pt idx="1">
                  <c:v>2023  Q11</c:v>
                </c:pt>
                <c:pt idx="2">
                  <c:v>2023  Q12</c:v>
                </c:pt>
                <c:pt idx="3">
                  <c:v>2023  Q13</c:v>
                </c:pt>
                <c:pt idx="4">
                  <c:v>2023  Q14</c:v>
                </c:pt>
                <c:pt idx="5">
                  <c:v>2023  Q15</c:v>
                </c:pt>
                <c:pt idx="6">
                  <c:v>2024  Q10</c:v>
                </c:pt>
                <c:pt idx="7">
                  <c:v>2024  Q15</c:v>
                </c:pt>
                <c:pt idx="8">
                  <c:v>2024  Q4</c:v>
                </c:pt>
                <c:pt idx="9">
                  <c:v>2024  Q5</c:v>
                </c:pt>
                <c:pt idx="10">
                  <c:v>2024  Q6</c:v>
                </c:pt>
                <c:pt idx="11">
                  <c:v>2024  Q7</c:v>
                </c:pt>
                <c:pt idx="12">
                  <c:v>2024  Q8</c:v>
                </c:pt>
                <c:pt idx="13">
                  <c:v>2024  Q9</c:v>
                </c:pt>
                <c:pt idx="14">
                  <c:v>2025  Q10</c:v>
                </c:pt>
                <c:pt idx="15">
                  <c:v>2025  Q11</c:v>
                </c:pt>
                <c:pt idx="16">
                  <c:v>2025  Q12</c:v>
                </c:pt>
              </c:strCache>
            </c:strRef>
          </c:cat>
          <c:val>
            <c:numRef>
              <c:f>PT_Quarterly!$B$4:$B$21</c:f>
              <c:numCache>
                <c:formatCode>General</c:formatCode>
                <c:ptCount val="17"/>
                <c:pt idx="0">
                  <c:v>296734.51700000011</c:v>
                </c:pt>
                <c:pt idx="1">
                  <c:v>364290.56549999985</c:v>
                </c:pt>
                <c:pt idx="2">
                  <c:v>247328.50900000002</c:v>
                </c:pt>
                <c:pt idx="3">
                  <c:v>300913.76450000005</c:v>
                </c:pt>
                <c:pt idx="4">
                  <c:v>223736.38400000011</c:v>
                </c:pt>
                <c:pt idx="5">
                  <c:v>264866.2365</c:v>
                </c:pt>
                <c:pt idx="6">
                  <c:v>26274.760999999999</c:v>
                </c:pt>
                <c:pt idx="7">
                  <c:v>16177.1855</c:v>
                </c:pt>
                <c:pt idx="8">
                  <c:v>313252.97900000011</c:v>
                </c:pt>
                <c:pt idx="9">
                  <c:v>276914.94699999999</c:v>
                </c:pt>
                <c:pt idx="10">
                  <c:v>305642.74949999986</c:v>
                </c:pt>
                <c:pt idx="11">
                  <c:v>253253.47549999997</c:v>
                </c:pt>
                <c:pt idx="12">
                  <c:v>321062.4150000001</c:v>
                </c:pt>
                <c:pt idx="13">
                  <c:v>259376.26749999999</c:v>
                </c:pt>
                <c:pt idx="14">
                  <c:v>311709.78599999973</c:v>
                </c:pt>
                <c:pt idx="15">
                  <c:v>310916.48350000009</c:v>
                </c:pt>
                <c:pt idx="16">
                  <c:v>287541.40249999991</c:v>
                </c:pt>
              </c:numCache>
            </c:numRef>
          </c:val>
          <c:extLst>
            <c:ext xmlns:c16="http://schemas.microsoft.com/office/drawing/2014/chart" uri="{C3380CC4-5D6E-409C-BE32-E72D297353CC}">
              <c16:uniqueId val="{00000000-38F4-4910-9D7D-59D4BE813485}"/>
            </c:ext>
          </c:extLst>
        </c:ser>
        <c:dLbls>
          <c:showLegendKey val="0"/>
          <c:showVal val="0"/>
          <c:showCatName val="0"/>
          <c:showSerName val="0"/>
          <c:showPercent val="0"/>
          <c:showBubbleSize val="0"/>
        </c:dLbls>
        <c:gapWidth val="219"/>
        <c:overlap val="-27"/>
        <c:axId val="714417039"/>
        <c:axId val="810949743"/>
      </c:barChart>
      <c:catAx>
        <c:axId val="7144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9743"/>
        <c:crosses val="autoZero"/>
        <c:auto val="1"/>
        <c:lblAlgn val="ctr"/>
        <c:lblOffset val="100"/>
        <c:noMultiLvlLbl val="0"/>
      </c:catAx>
      <c:valAx>
        <c:axId val="81094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PT_Region!$B$3:$B$4</c:f>
              <c:strCache>
                <c:ptCount val="1"/>
                <c:pt idx="0">
                  <c:v>Chair</c:v>
                </c:pt>
              </c:strCache>
            </c:strRef>
          </c:tx>
          <c:spPr>
            <a:solidFill>
              <a:schemeClr val="accent1"/>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PT_Region!$B$5:$B$10</c:f>
              <c:numCache>
                <c:formatCode>General</c:formatCode>
                <c:ptCount val="5"/>
                <c:pt idx="0">
                  <c:v>113029.44150000002</c:v>
                </c:pt>
                <c:pt idx="1">
                  <c:v>107210.19449999997</c:v>
                </c:pt>
                <c:pt idx="2">
                  <c:v>136982.53</c:v>
                </c:pt>
                <c:pt idx="3">
                  <c:v>150978.04099999997</c:v>
                </c:pt>
                <c:pt idx="4">
                  <c:v>114389.27099999998</c:v>
                </c:pt>
              </c:numCache>
            </c:numRef>
          </c:val>
          <c:extLst>
            <c:ext xmlns:c16="http://schemas.microsoft.com/office/drawing/2014/chart" uri="{C3380CC4-5D6E-409C-BE32-E72D297353CC}">
              <c16:uniqueId val="{00000000-60A1-4272-A2E4-58A7EB95DD01}"/>
            </c:ext>
          </c:extLst>
        </c:ser>
        <c:ser>
          <c:idx val="1"/>
          <c:order val="1"/>
          <c:tx>
            <c:strRef>
              <c:f>PT_Region!$C$3:$C$4</c:f>
              <c:strCache>
                <c:ptCount val="1"/>
                <c:pt idx="0">
                  <c:v>Desk</c:v>
                </c:pt>
              </c:strCache>
            </c:strRef>
          </c:tx>
          <c:spPr>
            <a:solidFill>
              <a:schemeClr val="accent2"/>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PT_Region!$C$5:$C$10</c:f>
              <c:numCache>
                <c:formatCode>General</c:formatCode>
                <c:ptCount val="5"/>
                <c:pt idx="0">
                  <c:v>110743.92899999997</c:v>
                </c:pt>
                <c:pt idx="1">
                  <c:v>118254.66299999997</c:v>
                </c:pt>
                <c:pt idx="2">
                  <c:v>170637.98050000001</c:v>
                </c:pt>
                <c:pt idx="3">
                  <c:v>68565.670999999988</c:v>
                </c:pt>
                <c:pt idx="4">
                  <c:v>87064.421000000002</c:v>
                </c:pt>
              </c:numCache>
            </c:numRef>
          </c:val>
          <c:extLst>
            <c:ext xmlns:c16="http://schemas.microsoft.com/office/drawing/2014/chart" uri="{C3380CC4-5D6E-409C-BE32-E72D297353CC}">
              <c16:uniqueId val="{00000001-60A1-4272-A2E4-58A7EB95DD01}"/>
            </c:ext>
          </c:extLst>
        </c:ser>
        <c:ser>
          <c:idx val="2"/>
          <c:order val="2"/>
          <c:tx>
            <c:strRef>
              <c:f>PT_Region!$D$3:$D$4</c:f>
              <c:strCache>
                <c:ptCount val="1"/>
                <c:pt idx="0">
                  <c:v>Laptop</c:v>
                </c:pt>
              </c:strCache>
            </c:strRef>
          </c:tx>
          <c:spPr>
            <a:solidFill>
              <a:schemeClr val="accent3"/>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PT_Region!$D$5:$D$10</c:f>
              <c:numCache>
                <c:formatCode>General</c:formatCode>
                <c:ptCount val="5"/>
                <c:pt idx="0">
                  <c:v>139219.58000000002</c:v>
                </c:pt>
                <c:pt idx="1">
                  <c:v>135461.4075</c:v>
                </c:pt>
                <c:pt idx="2">
                  <c:v>122643.56599999998</c:v>
                </c:pt>
                <c:pt idx="3">
                  <c:v>157696.02050000001</c:v>
                </c:pt>
                <c:pt idx="4">
                  <c:v>129396.6675</c:v>
                </c:pt>
              </c:numCache>
            </c:numRef>
          </c:val>
          <c:extLst>
            <c:ext xmlns:c16="http://schemas.microsoft.com/office/drawing/2014/chart" uri="{C3380CC4-5D6E-409C-BE32-E72D297353CC}">
              <c16:uniqueId val="{00000002-60A1-4272-A2E4-58A7EB95DD01}"/>
            </c:ext>
          </c:extLst>
        </c:ser>
        <c:ser>
          <c:idx val="3"/>
          <c:order val="3"/>
          <c:tx>
            <c:strRef>
              <c:f>PT_Region!$E$3:$E$4</c:f>
              <c:strCache>
                <c:ptCount val="1"/>
                <c:pt idx="0">
                  <c:v>Monitor</c:v>
                </c:pt>
              </c:strCache>
            </c:strRef>
          </c:tx>
          <c:spPr>
            <a:solidFill>
              <a:schemeClr val="accent4"/>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PT_Region!$E$5:$E$10</c:f>
              <c:numCache>
                <c:formatCode>General</c:formatCode>
                <c:ptCount val="5"/>
                <c:pt idx="0">
                  <c:v>107231.89599999999</c:v>
                </c:pt>
                <c:pt idx="1">
                  <c:v>121548.13150000002</c:v>
                </c:pt>
                <c:pt idx="2">
                  <c:v>172222.0435</c:v>
                </c:pt>
                <c:pt idx="3">
                  <c:v>101689.4455</c:v>
                </c:pt>
                <c:pt idx="4">
                  <c:v>148937.87599999999</c:v>
                </c:pt>
              </c:numCache>
            </c:numRef>
          </c:val>
          <c:extLst>
            <c:ext xmlns:c16="http://schemas.microsoft.com/office/drawing/2014/chart" uri="{C3380CC4-5D6E-409C-BE32-E72D297353CC}">
              <c16:uniqueId val="{00000003-60A1-4272-A2E4-58A7EB95DD01}"/>
            </c:ext>
          </c:extLst>
        </c:ser>
        <c:ser>
          <c:idx val="4"/>
          <c:order val="4"/>
          <c:tx>
            <c:strRef>
              <c:f>PT_Region!$F$3:$F$4</c:f>
              <c:strCache>
                <c:ptCount val="1"/>
                <c:pt idx="0">
                  <c:v>Phone</c:v>
                </c:pt>
              </c:strCache>
            </c:strRef>
          </c:tx>
          <c:spPr>
            <a:solidFill>
              <a:schemeClr val="accent5"/>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PT_Region!$F$5:$F$10</c:f>
              <c:numCache>
                <c:formatCode>General</c:formatCode>
                <c:ptCount val="5"/>
                <c:pt idx="0">
                  <c:v>72442.82650000001</c:v>
                </c:pt>
                <c:pt idx="1">
                  <c:v>145231.20299999998</c:v>
                </c:pt>
                <c:pt idx="2">
                  <c:v>79577.453000000023</c:v>
                </c:pt>
                <c:pt idx="3">
                  <c:v>121325.69500000005</c:v>
                </c:pt>
                <c:pt idx="4">
                  <c:v>78585.673500000004</c:v>
                </c:pt>
              </c:numCache>
            </c:numRef>
          </c:val>
          <c:extLst>
            <c:ext xmlns:c16="http://schemas.microsoft.com/office/drawing/2014/chart" uri="{C3380CC4-5D6E-409C-BE32-E72D297353CC}">
              <c16:uniqueId val="{00000004-60A1-4272-A2E4-58A7EB95DD01}"/>
            </c:ext>
          </c:extLst>
        </c:ser>
        <c:ser>
          <c:idx val="5"/>
          <c:order val="5"/>
          <c:tx>
            <c:strRef>
              <c:f>PT_Region!$G$3:$G$4</c:f>
              <c:strCache>
                <c:ptCount val="1"/>
                <c:pt idx="0">
                  <c:v>Printer</c:v>
                </c:pt>
              </c:strCache>
            </c:strRef>
          </c:tx>
          <c:spPr>
            <a:solidFill>
              <a:schemeClr val="accent6"/>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PT_Region!$G$5:$G$10</c:f>
              <c:numCache>
                <c:formatCode>General</c:formatCode>
                <c:ptCount val="5"/>
                <c:pt idx="0">
                  <c:v>139174.86749999999</c:v>
                </c:pt>
                <c:pt idx="1">
                  <c:v>149017.84499999994</c:v>
                </c:pt>
                <c:pt idx="2">
                  <c:v>128877.22799999996</c:v>
                </c:pt>
                <c:pt idx="3">
                  <c:v>122090.86499999999</c:v>
                </c:pt>
                <c:pt idx="4">
                  <c:v>145226.60999999996</c:v>
                </c:pt>
              </c:numCache>
            </c:numRef>
          </c:val>
          <c:extLst>
            <c:ext xmlns:c16="http://schemas.microsoft.com/office/drawing/2014/chart" uri="{C3380CC4-5D6E-409C-BE32-E72D297353CC}">
              <c16:uniqueId val="{00000005-60A1-4272-A2E4-58A7EB95DD01}"/>
            </c:ext>
          </c:extLst>
        </c:ser>
        <c:ser>
          <c:idx val="6"/>
          <c:order val="6"/>
          <c:tx>
            <c:strRef>
              <c:f>PT_Region!$H$3:$H$4</c:f>
              <c:strCache>
                <c:ptCount val="1"/>
                <c:pt idx="0">
                  <c:v>Tablet</c:v>
                </c:pt>
              </c:strCache>
            </c:strRef>
          </c:tx>
          <c:spPr>
            <a:solidFill>
              <a:schemeClr val="accent1">
                <a:lumMod val="60000"/>
              </a:schemeClr>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PT_Region!$H$5:$H$10</c:f>
              <c:numCache>
                <c:formatCode>General</c:formatCode>
                <c:ptCount val="5"/>
                <c:pt idx="0">
                  <c:v>165311.14399999991</c:v>
                </c:pt>
                <c:pt idx="1">
                  <c:v>106910.27350000002</c:v>
                </c:pt>
                <c:pt idx="2">
                  <c:v>157017.17899999995</c:v>
                </c:pt>
                <c:pt idx="3">
                  <c:v>105422.44899999999</c:v>
                </c:pt>
                <c:pt idx="4">
                  <c:v>149878.34</c:v>
                </c:pt>
              </c:numCache>
            </c:numRef>
          </c:val>
          <c:extLst>
            <c:ext xmlns:c16="http://schemas.microsoft.com/office/drawing/2014/chart" uri="{C3380CC4-5D6E-409C-BE32-E72D297353CC}">
              <c16:uniqueId val="{00000006-60A1-4272-A2E4-58A7EB95DD01}"/>
            </c:ext>
          </c:extLst>
        </c:ser>
        <c:dLbls>
          <c:showLegendKey val="0"/>
          <c:showVal val="0"/>
          <c:showCatName val="0"/>
          <c:showSerName val="0"/>
          <c:showPercent val="0"/>
          <c:showBubbleSize val="0"/>
        </c:dLbls>
        <c:gapWidth val="182"/>
        <c:axId val="158699855"/>
        <c:axId val="158698415"/>
      </c:barChart>
      <c:catAx>
        <c:axId val="15869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8415"/>
        <c:crosses val="autoZero"/>
        <c:auto val="1"/>
        <c:lblAlgn val="ctr"/>
        <c:lblOffset val="100"/>
        <c:noMultiLvlLbl val="0"/>
      </c:catAx>
      <c:valAx>
        <c:axId val="15869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[Product-Sales-Region.xlsx]PT_SalesRep!PivotTable4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Rep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PT_SalesRep!$B$3</c:f>
              <c:strCache>
                <c:ptCount val="1"/>
                <c:pt idx="0">
                  <c:v>Sum of TotalPrice</c:v>
                </c:pt>
              </c:strCache>
            </c:strRef>
          </c:tx>
          <c:spPr>
            <a:solidFill>
              <a:schemeClr val="accent1"/>
            </a:solidFill>
            <a:ln>
              <a:noFill/>
            </a:ln>
            <a:effectLst/>
          </c:spPr>
          <c:invertIfNegative val="0"/>
          <c:cat>
            <c:strRef>
              <c:f>PT_SalesRep!$A$4:$A$10</c:f>
              <c:strCache>
                <c:ptCount val="6"/>
                <c:pt idx="0">
                  <c:v>Alice</c:v>
                </c:pt>
                <c:pt idx="1">
                  <c:v>Bob</c:v>
                </c:pt>
                <c:pt idx="2">
                  <c:v>Carlos</c:v>
                </c:pt>
                <c:pt idx="3">
                  <c:v>Diana</c:v>
                </c:pt>
                <c:pt idx="4">
                  <c:v>Eva</c:v>
                </c:pt>
                <c:pt idx="5">
                  <c:v>Frank</c:v>
                </c:pt>
              </c:strCache>
            </c:strRef>
          </c:cat>
          <c:val>
            <c:numRef>
              <c:f>PT_SalesRep!$B$4:$B$10</c:f>
              <c:numCache>
                <c:formatCode>General</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0570-4E12-BBA4-8AB00FCCA984}"/>
            </c:ext>
          </c:extLst>
        </c:ser>
        <c:ser>
          <c:idx val="1"/>
          <c:order val="1"/>
          <c:tx>
            <c:strRef>
              <c:f>PT_SalesRep!$C$3</c:f>
              <c:strCache>
                <c:ptCount val="1"/>
                <c:pt idx="0">
                  <c:v>Sum of Quantity</c:v>
                </c:pt>
              </c:strCache>
            </c:strRef>
          </c:tx>
          <c:spPr>
            <a:solidFill>
              <a:schemeClr val="accent2"/>
            </a:solidFill>
            <a:ln>
              <a:noFill/>
            </a:ln>
            <a:effectLst/>
          </c:spPr>
          <c:invertIfNegative val="0"/>
          <c:cat>
            <c:strRef>
              <c:f>PT_SalesRep!$A$4:$A$10</c:f>
              <c:strCache>
                <c:ptCount val="6"/>
                <c:pt idx="0">
                  <c:v>Alice</c:v>
                </c:pt>
                <c:pt idx="1">
                  <c:v>Bob</c:v>
                </c:pt>
                <c:pt idx="2">
                  <c:v>Carlos</c:v>
                </c:pt>
                <c:pt idx="3">
                  <c:v>Diana</c:v>
                </c:pt>
                <c:pt idx="4">
                  <c:v>Eva</c:v>
                </c:pt>
                <c:pt idx="5">
                  <c:v>Frank</c:v>
                </c:pt>
              </c:strCache>
            </c:strRef>
          </c:cat>
          <c:val>
            <c:numRef>
              <c:f>PT_SalesRep!$C$4:$C$10</c:f>
              <c:numCache>
                <c:formatCode>General</c:formatCode>
                <c:ptCount val="6"/>
                <c:pt idx="0">
                  <c:v>2732</c:v>
                </c:pt>
                <c:pt idx="1">
                  <c:v>2661</c:v>
                </c:pt>
                <c:pt idx="2">
                  <c:v>2699</c:v>
                </c:pt>
                <c:pt idx="3">
                  <c:v>2548</c:v>
                </c:pt>
                <c:pt idx="4">
                  <c:v>2452</c:v>
                </c:pt>
                <c:pt idx="5">
                  <c:v>2524</c:v>
                </c:pt>
              </c:numCache>
            </c:numRef>
          </c:val>
          <c:extLst>
            <c:ext xmlns:c16="http://schemas.microsoft.com/office/drawing/2014/chart" uri="{C3380CC4-5D6E-409C-BE32-E72D297353CC}">
              <c16:uniqueId val="{00000001-0570-4E12-BBA4-8AB00FCCA984}"/>
            </c:ext>
          </c:extLst>
        </c:ser>
        <c:dLbls>
          <c:showLegendKey val="0"/>
          <c:showVal val="0"/>
          <c:showCatName val="0"/>
          <c:showSerName val="0"/>
          <c:showPercent val="0"/>
          <c:showBubbleSize val="0"/>
        </c:dLbls>
        <c:gapWidth val="182"/>
        <c:axId val="672865583"/>
        <c:axId val="672866063"/>
      </c:barChart>
      <c:catAx>
        <c:axId val="67286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6063"/>
        <c:crosses val="autoZero"/>
        <c:auto val="1"/>
        <c:lblAlgn val="ctr"/>
        <c:lblOffset val="100"/>
        <c:noMultiLvlLbl val="0"/>
      </c:catAx>
      <c:valAx>
        <c:axId val="67286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[Product-Sales-Region.xlsx]PT_Monthly!PivotTable1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latin typeface="Arial Black" panose="020B0A04020102020204" pitchFamily="34" charset="0"/>
              </a:rPr>
              <a:t>Monthly Revenue Trend</a:t>
            </a:r>
          </a:p>
          <a:p>
            <a:pPr>
              <a:defRPr/>
            </a:pPr>
            <a:endParaRPr lang="en-IN" sz="1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none"/>
          </c:marker>
          <c:cat>
            <c:strRef>
              <c:f>PT_Monthly!$A$4:$A$34</c:f>
              <c:strCache>
                <c:ptCount val="30"/>
                <c:pt idx="0">
                  <c:v>Apr-2023</c:v>
                </c:pt>
                <c:pt idx="1">
                  <c:v>Apr-2024</c:v>
                </c:pt>
                <c:pt idx="2">
                  <c:v>Apr-2025</c:v>
                </c:pt>
                <c:pt idx="3">
                  <c:v>Aug-2023</c:v>
                </c:pt>
                <c:pt idx="4">
                  <c:v>Aug-2024</c:v>
                </c:pt>
                <c:pt idx="5">
                  <c:v>Dec-2023</c:v>
                </c:pt>
                <c:pt idx="6">
                  <c:v>Dec-2024</c:v>
                </c:pt>
                <c:pt idx="7">
                  <c:v>Feb-2023</c:v>
                </c:pt>
                <c:pt idx="8">
                  <c:v>Feb-2024</c:v>
                </c:pt>
                <c:pt idx="9">
                  <c:v>Feb-2025</c:v>
                </c:pt>
                <c:pt idx="10">
                  <c:v>Jan-2023</c:v>
                </c:pt>
                <c:pt idx="11">
                  <c:v>Jan-2024</c:v>
                </c:pt>
                <c:pt idx="12">
                  <c:v>Jan-2025</c:v>
                </c:pt>
                <c:pt idx="13">
                  <c:v>Jul-2023</c:v>
                </c:pt>
                <c:pt idx="14">
                  <c:v>Jul-2024</c:v>
                </c:pt>
                <c:pt idx="15">
                  <c:v>Jun-2023</c:v>
                </c:pt>
                <c:pt idx="16">
                  <c:v>Jun-2024</c:v>
                </c:pt>
                <c:pt idx="17">
                  <c:v>Jun-2025</c:v>
                </c:pt>
                <c:pt idx="18">
                  <c:v>Mar-2023</c:v>
                </c:pt>
                <c:pt idx="19">
                  <c:v>Mar-2024</c:v>
                </c:pt>
                <c:pt idx="20">
                  <c:v>Mar-2025</c:v>
                </c:pt>
                <c:pt idx="21">
                  <c:v>May-2023</c:v>
                </c:pt>
                <c:pt idx="22">
                  <c:v>May-2024</c:v>
                </c:pt>
                <c:pt idx="23">
                  <c:v>May-2025</c:v>
                </c:pt>
                <c:pt idx="24">
                  <c:v>Nov-2023</c:v>
                </c:pt>
                <c:pt idx="25">
                  <c:v>Nov-2024</c:v>
                </c:pt>
                <c:pt idx="26">
                  <c:v>Oct-2023</c:v>
                </c:pt>
                <c:pt idx="27">
                  <c:v>Oct-2024</c:v>
                </c:pt>
                <c:pt idx="28">
                  <c:v>Sep-2023</c:v>
                </c:pt>
                <c:pt idx="29">
                  <c:v>Sep-2024</c:v>
                </c:pt>
              </c:strCache>
            </c:strRef>
          </c:cat>
          <c:val>
            <c:numRef>
              <c:f>PT_Monthly!$B$4:$B$34</c:f>
              <c:numCache>
                <c:formatCode>General</c:formatCode>
                <c:ptCount val="30"/>
                <c:pt idx="0">
                  <c:v>149131.44849999994</c:v>
                </c:pt>
                <c:pt idx="1">
                  <c:v>165512.2635</c:v>
                </c:pt>
                <c:pt idx="2">
                  <c:v>128675.01449999999</c:v>
                </c:pt>
                <c:pt idx="3">
                  <c:v>159711.49749999997</c:v>
                </c:pt>
                <c:pt idx="4">
                  <c:v>129927.50599999999</c:v>
                </c:pt>
                <c:pt idx="5">
                  <c:v>119709.90149999998</c:v>
                </c:pt>
                <c:pt idx="6">
                  <c:v>143039.62049999999</c:v>
                </c:pt>
                <c:pt idx="7">
                  <c:v>141357.36599999998</c:v>
                </c:pt>
                <c:pt idx="8">
                  <c:v>135515.81449999998</c:v>
                </c:pt>
                <c:pt idx="9">
                  <c:v>138184.63300000006</c:v>
                </c:pt>
                <c:pt idx="10">
                  <c:v>152811.73499999999</c:v>
                </c:pt>
                <c:pt idx="11">
                  <c:v>174448.67350000003</c:v>
                </c:pt>
                <c:pt idx="12">
                  <c:v>171098.09299999999</c:v>
                </c:pt>
                <c:pt idx="13">
                  <c:v>139894.34000000003</c:v>
                </c:pt>
                <c:pt idx="14">
                  <c:v>140155.70749999999</c:v>
                </c:pt>
                <c:pt idx="15">
                  <c:v>134225.03049999996</c:v>
                </c:pt>
                <c:pt idx="16">
                  <c:v>163370.087</c:v>
                </c:pt>
                <c:pt idx="17">
                  <c:v>136666.55149999997</c:v>
                </c:pt>
                <c:pt idx="18">
                  <c:v>208548.69499999995</c:v>
                </c:pt>
                <c:pt idx="19">
                  <c:v>140348.48950000003</c:v>
                </c:pt>
                <c:pt idx="20">
                  <c:v>183193.76899999997</c:v>
                </c:pt>
                <c:pt idx="21">
                  <c:v>117265.8815</c:v>
                </c:pt>
                <c:pt idx="22">
                  <c:v>132792.53300000005</c:v>
                </c:pt>
                <c:pt idx="23">
                  <c:v>152349.61099999995</c:v>
                </c:pt>
                <c:pt idx="24">
                  <c:v>145156.33499999996</c:v>
                </c:pt>
                <c:pt idx="25">
                  <c:v>138174.285</c:v>
                </c:pt>
                <c:pt idx="26">
                  <c:v>78445.700500000035</c:v>
                </c:pt>
                <c:pt idx="27">
                  <c:v>178167.19649999996</c:v>
                </c:pt>
                <c:pt idx="28">
                  <c:v>151612.04550000001</c:v>
                </c:pt>
                <c:pt idx="29">
                  <c:v>130502.60349999995</c:v>
                </c:pt>
              </c:numCache>
            </c:numRef>
          </c:val>
          <c:smooth val="0"/>
          <c:extLst>
            <c:ext xmlns:c16="http://schemas.microsoft.com/office/drawing/2014/chart" uri="{C3380CC4-5D6E-409C-BE32-E72D297353CC}">
              <c16:uniqueId val="{00000000-2977-4EAE-B2E3-080DC8FEAB6C}"/>
            </c:ext>
          </c:extLst>
        </c:ser>
        <c:dLbls>
          <c:showLegendKey val="0"/>
          <c:showVal val="0"/>
          <c:showCatName val="0"/>
          <c:showSerName val="0"/>
          <c:showPercent val="0"/>
          <c:showBubbleSize val="0"/>
        </c:dLbls>
        <c:smooth val="0"/>
        <c:axId val="672860303"/>
        <c:axId val="672860783"/>
      </c:lineChart>
      <c:catAx>
        <c:axId val="6728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0783"/>
        <c:crosses val="autoZero"/>
        <c:auto val="1"/>
        <c:lblAlgn val="ctr"/>
        <c:lblOffset val="100"/>
        <c:noMultiLvlLbl val="0"/>
      </c:catAx>
      <c:valAx>
        <c:axId val="67286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6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[Product-Sales-Region.xlsx]PT_Quarterly!PivotTable2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latin typeface="Arial Black" panose="020B0A04020102020204" pitchFamily="34" charset="0"/>
              </a:rPr>
              <a:t>Quarterly Revenue</a:t>
            </a:r>
            <a:endParaRPr lang="en-IN" sz="1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PT_Quarterly!$B$3</c:f>
              <c:strCache>
                <c:ptCount val="1"/>
                <c:pt idx="0">
                  <c:v>Total</c:v>
                </c:pt>
              </c:strCache>
            </c:strRef>
          </c:tx>
          <c:spPr>
            <a:solidFill>
              <a:schemeClr val="accent1"/>
            </a:solidFill>
            <a:ln>
              <a:noFill/>
            </a:ln>
            <a:effectLst/>
          </c:spPr>
          <c:invertIfNegative val="0"/>
          <c:cat>
            <c:strRef>
              <c:f>PT_Quarterly!$A$4:$A$21</c:f>
              <c:strCache>
                <c:ptCount val="17"/>
                <c:pt idx="0">
                  <c:v>2023  Q10</c:v>
                </c:pt>
                <c:pt idx="1">
                  <c:v>2023  Q11</c:v>
                </c:pt>
                <c:pt idx="2">
                  <c:v>2023  Q12</c:v>
                </c:pt>
                <c:pt idx="3">
                  <c:v>2023  Q13</c:v>
                </c:pt>
                <c:pt idx="4">
                  <c:v>2023  Q14</c:v>
                </c:pt>
                <c:pt idx="5">
                  <c:v>2023  Q15</c:v>
                </c:pt>
                <c:pt idx="6">
                  <c:v>2024  Q10</c:v>
                </c:pt>
                <c:pt idx="7">
                  <c:v>2024  Q15</c:v>
                </c:pt>
                <c:pt idx="8">
                  <c:v>2024  Q4</c:v>
                </c:pt>
                <c:pt idx="9">
                  <c:v>2024  Q5</c:v>
                </c:pt>
                <c:pt idx="10">
                  <c:v>2024  Q6</c:v>
                </c:pt>
                <c:pt idx="11">
                  <c:v>2024  Q7</c:v>
                </c:pt>
                <c:pt idx="12">
                  <c:v>2024  Q8</c:v>
                </c:pt>
                <c:pt idx="13">
                  <c:v>2024  Q9</c:v>
                </c:pt>
                <c:pt idx="14">
                  <c:v>2025  Q10</c:v>
                </c:pt>
                <c:pt idx="15">
                  <c:v>2025  Q11</c:v>
                </c:pt>
                <c:pt idx="16">
                  <c:v>2025  Q12</c:v>
                </c:pt>
              </c:strCache>
            </c:strRef>
          </c:cat>
          <c:val>
            <c:numRef>
              <c:f>PT_Quarterly!$B$4:$B$21</c:f>
              <c:numCache>
                <c:formatCode>General</c:formatCode>
                <c:ptCount val="17"/>
                <c:pt idx="0">
                  <c:v>296734.51700000011</c:v>
                </c:pt>
                <c:pt idx="1">
                  <c:v>364290.56549999985</c:v>
                </c:pt>
                <c:pt idx="2">
                  <c:v>247328.50900000002</c:v>
                </c:pt>
                <c:pt idx="3">
                  <c:v>300913.76450000005</c:v>
                </c:pt>
                <c:pt idx="4">
                  <c:v>223736.38400000011</c:v>
                </c:pt>
                <c:pt idx="5">
                  <c:v>264866.2365</c:v>
                </c:pt>
                <c:pt idx="6">
                  <c:v>26274.760999999999</c:v>
                </c:pt>
                <c:pt idx="7">
                  <c:v>16177.1855</c:v>
                </c:pt>
                <c:pt idx="8">
                  <c:v>313252.97900000011</c:v>
                </c:pt>
                <c:pt idx="9">
                  <c:v>276914.94699999999</c:v>
                </c:pt>
                <c:pt idx="10">
                  <c:v>305642.74949999986</c:v>
                </c:pt>
                <c:pt idx="11">
                  <c:v>253253.47549999997</c:v>
                </c:pt>
                <c:pt idx="12">
                  <c:v>321062.4150000001</c:v>
                </c:pt>
                <c:pt idx="13">
                  <c:v>259376.26749999999</c:v>
                </c:pt>
                <c:pt idx="14">
                  <c:v>311709.78599999973</c:v>
                </c:pt>
                <c:pt idx="15">
                  <c:v>310916.48350000009</c:v>
                </c:pt>
                <c:pt idx="16">
                  <c:v>287541.40249999991</c:v>
                </c:pt>
              </c:numCache>
            </c:numRef>
          </c:val>
          <c:extLst>
            <c:ext xmlns:c16="http://schemas.microsoft.com/office/drawing/2014/chart" uri="{C3380CC4-5D6E-409C-BE32-E72D297353CC}">
              <c16:uniqueId val="{00000000-D188-402F-969C-F651B527C4A2}"/>
            </c:ext>
          </c:extLst>
        </c:ser>
        <c:dLbls>
          <c:showLegendKey val="0"/>
          <c:showVal val="0"/>
          <c:showCatName val="0"/>
          <c:showSerName val="0"/>
          <c:showPercent val="0"/>
          <c:showBubbleSize val="0"/>
        </c:dLbls>
        <c:gapWidth val="219"/>
        <c:overlap val="-27"/>
        <c:axId val="714417039"/>
        <c:axId val="810949743"/>
      </c:barChart>
      <c:catAx>
        <c:axId val="7144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9743"/>
        <c:crosses val="autoZero"/>
        <c:auto val="1"/>
        <c:lblAlgn val="ctr"/>
        <c:lblOffset val="100"/>
        <c:noMultiLvlLbl val="0"/>
      </c:catAx>
      <c:valAx>
        <c:axId val="81094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[Product-Sales-Region.xlsx]PT_Region!PivotTable3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latin typeface="Arial Black" panose="020B0A04020102020204" pitchFamily="34" charset="0"/>
              </a:rPr>
              <a:t>Revenue by Region</a:t>
            </a:r>
            <a:endParaRPr lang="en-IN" sz="1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PT_Region!$B$3:$B$4</c:f>
              <c:strCache>
                <c:ptCount val="1"/>
                <c:pt idx="0">
                  <c:v>Chair</c:v>
                </c:pt>
              </c:strCache>
            </c:strRef>
          </c:tx>
          <c:spPr>
            <a:solidFill>
              <a:schemeClr val="accent1"/>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PT_Region!$B$5:$B$10</c:f>
              <c:numCache>
                <c:formatCode>General</c:formatCode>
                <c:ptCount val="5"/>
                <c:pt idx="0">
                  <c:v>113029.44150000002</c:v>
                </c:pt>
                <c:pt idx="1">
                  <c:v>107210.19449999997</c:v>
                </c:pt>
                <c:pt idx="2">
                  <c:v>136982.53</c:v>
                </c:pt>
                <c:pt idx="3">
                  <c:v>150978.04099999997</c:v>
                </c:pt>
                <c:pt idx="4">
                  <c:v>114389.27099999998</c:v>
                </c:pt>
              </c:numCache>
            </c:numRef>
          </c:val>
          <c:extLst>
            <c:ext xmlns:c16="http://schemas.microsoft.com/office/drawing/2014/chart" uri="{C3380CC4-5D6E-409C-BE32-E72D297353CC}">
              <c16:uniqueId val="{00000000-A5AE-49D3-BF91-07BF0081A25C}"/>
            </c:ext>
          </c:extLst>
        </c:ser>
        <c:ser>
          <c:idx val="1"/>
          <c:order val="1"/>
          <c:tx>
            <c:strRef>
              <c:f>PT_Region!$C$3:$C$4</c:f>
              <c:strCache>
                <c:ptCount val="1"/>
                <c:pt idx="0">
                  <c:v>Desk</c:v>
                </c:pt>
              </c:strCache>
            </c:strRef>
          </c:tx>
          <c:spPr>
            <a:solidFill>
              <a:schemeClr val="accent2"/>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PT_Region!$C$5:$C$10</c:f>
              <c:numCache>
                <c:formatCode>General</c:formatCode>
                <c:ptCount val="5"/>
                <c:pt idx="0">
                  <c:v>110743.92899999997</c:v>
                </c:pt>
                <c:pt idx="1">
                  <c:v>118254.66299999997</c:v>
                </c:pt>
                <c:pt idx="2">
                  <c:v>170637.98050000001</c:v>
                </c:pt>
                <c:pt idx="3">
                  <c:v>68565.670999999988</c:v>
                </c:pt>
                <c:pt idx="4">
                  <c:v>87064.421000000002</c:v>
                </c:pt>
              </c:numCache>
            </c:numRef>
          </c:val>
          <c:extLst>
            <c:ext xmlns:c16="http://schemas.microsoft.com/office/drawing/2014/chart" uri="{C3380CC4-5D6E-409C-BE32-E72D297353CC}">
              <c16:uniqueId val="{00000001-A5AE-49D3-BF91-07BF0081A25C}"/>
            </c:ext>
          </c:extLst>
        </c:ser>
        <c:ser>
          <c:idx val="2"/>
          <c:order val="2"/>
          <c:tx>
            <c:strRef>
              <c:f>PT_Region!$D$3:$D$4</c:f>
              <c:strCache>
                <c:ptCount val="1"/>
                <c:pt idx="0">
                  <c:v>Laptop</c:v>
                </c:pt>
              </c:strCache>
            </c:strRef>
          </c:tx>
          <c:spPr>
            <a:solidFill>
              <a:schemeClr val="accent3"/>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PT_Region!$D$5:$D$10</c:f>
              <c:numCache>
                <c:formatCode>General</c:formatCode>
                <c:ptCount val="5"/>
                <c:pt idx="0">
                  <c:v>139219.58000000002</c:v>
                </c:pt>
                <c:pt idx="1">
                  <c:v>135461.4075</c:v>
                </c:pt>
                <c:pt idx="2">
                  <c:v>122643.56599999998</c:v>
                </c:pt>
                <c:pt idx="3">
                  <c:v>157696.02050000001</c:v>
                </c:pt>
                <c:pt idx="4">
                  <c:v>129396.6675</c:v>
                </c:pt>
              </c:numCache>
            </c:numRef>
          </c:val>
          <c:extLst>
            <c:ext xmlns:c16="http://schemas.microsoft.com/office/drawing/2014/chart" uri="{C3380CC4-5D6E-409C-BE32-E72D297353CC}">
              <c16:uniqueId val="{00000002-A5AE-49D3-BF91-07BF0081A25C}"/>
            </c:ext>
          </c:extLst>
        </c:ser>
        <c:ser>
          <c:idx val="3"/>
          <c:order val="3"/>
          <c:tx>
            <c:strRef>
              <c:f>PT_Region!$E$3:$E$4</c:f>
              <c:strCache>
                <c:ptCount val="1"/>
                <c:pt idx="0">
                  <c:v>Monitor</c:v>
                </c:pt>
              </c:strCache>
            </c:strRef>
          </c:tx>
          <c:spPr>
            <a:solidFill>
              <a:schemeClr val="accent4"/>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PT_Region!$E$5:$E$10</c:f>
              <c:numCache>
                <c:formatCode>General</c:formatCode>
                <c:ptCount val="5"/>
                <c:pt idx="0">
                  <c:v>107231.89599999999</c:v>
                </c:pt>
                <c:pt idx="1">
                  <c:v>121548.13150000002</c:v>
                </c:pt>
                <c:pt idx="2">
                  <c:v>172222.0435</c:v>
                </c:pt>
                <c:pt idx="3">
                  <c:v>101689.4455</c:v>
                </c:pt>
                <c:pt idx="4">
                  <c:v>148937.87599999999</c:v>
                </c:pt>
              </c:numCache>
            </c:numRef>
          </c:val>
          <c:extLst>
            <c:ext xmlns:c16="http://schemas.microsoft.com/office/drawing/2014/chart" uri="{C3380CC4-5D6E-409C-BE32-E72D297353CC}">
              <c16:uniqueId val="{00000003-A5AE-49D3-BF91-07BF0081A25C}"/>
            </c:ext>
          </c:extLst>
        </c:ser>
        <c:ser>
          <c:idx val="4"/>
          <c:order val="4"/>
          <c:tx>
            <c:strRef>
              <c:f>PT_Region!$F$3:$F$4</c:f>
              <c:strCache>
                <c:ptCount val="1"/>
                <c:pt idx="0">
                  <c:v>Phone</c:v>
                </c:pt>
              </c:strCache>
            </c:strRef>
          </c:tx>
          <c:spPr>
            <a:solidFill>
              <a:schemeClr val="accent5"/>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PT_Region!$F$5:$F$10</c:f>
              <c:numCache>
                <c:formatCode>General</c:formatCode>
                <c:ptCount val="5"/>
                <c:pt idx="0">
                  <c:v>72442.82650000001</c:v>
                </c:pt>
                <c:pt idx="1">
                  <c:v>145231.20299999998</c:v>
                </c:pt>
                <c:pt idx="2">
                  <c:v>79577.453000000023</c:v>
                </c:pt>
                <c:pt idx="3">
                  <c:v>121325.69500000005</c:v>
                </c:pt>
                <c:pt idx="4">
                  <c:v>78585.673500000004</c:v>
                </c:pt>
              </c:numCache>
            </c:numRef>
          </c:val>
          <c:extLst>
            <c:ext xmlns:c16="http://schemas.microsoft.com/office/drawing/2014/chart" uri="{C3380CC4-5D6E-409C-BE32-E72D297353CC}">
              <c16:uniqueId val="{00000004-A5AE-49D3-BF91-07BF0081A25C}"/>
            </c:ext>
          </c:extLst>
        </c:ser>
        <c:ser>
          <c:idx val="5"/>
          <c:order val="5"/>
          <c:tx>
            <c:strRef>
              <c:f>PT_Region!$G$3:$G$4</c:f>
              <c:strCache>
                <c:ptCount val="1"/>
                <c:pt idx="0">
                  <c:v>Printer</c:v>
                </c:pt>
              </c:strCache>
            </c:strRef>
          </c:tx>
          <c:spPr>
            <a:solidFill>
              <a:schemeClr val="accent6"/>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PT_Region!$G$5:$G$10</c:f>
              <c:numCache>
                <c:formatCode>General</c:formatCode>
                <c:ptCount val="5"/>
                <c:pt idx="0">
                  <c:v>139174.86749999999</c:v>
                </c:pt>
                <c:pt idx="1">
                  <c:v>149017.84499999994</c:v>
                </c:pt>
                <c:pt idx="2">
                  <c:v>128877.22799999996</c:v>
                </c:pt>
                <c:pt idx="3">
                  <c:v>122090.86499999999</c:v>
                </c:pt>
                <c:pt idx="4">
                  <c:v>145226.60999999996</c:v>
                </c:pt>
              </c:numCache>
            </c:numRef>
          </c:val>
          <c:extLst>
            <c:ext xmlns:c16="http://schemas.microsoft.com/office/drawing/2014/chart" uri="{C3380CC4-5D6E-409C-BE32-E72D297353CC}">
              <c16:uniqueId val="{00000005-A5AE-49D3-BF91-07BF0081A25C}"/>
            </c:ext>
          </c:extLst>
        </c:ser>
        <c:ser>
          <c:idx val="6"/>
          <c:order val="6"/>
          <c:tx>
            <c:strRef>
              <c:f>PT_Region!$H$3:$H$4</c:f>
              <c:strCache>
                <c:ptCount val="1"/>
                <c:pt idx="0">
                  <c:v>Tablet</c:v>
                </c:pt>
              </c:strCache>
            </c:strRef>
          </c:tx>
          <c:spPr>
            <a:solidFill>
              <a:schemeClr val="accent1">
                <a:lumMod val="60000"/>
              </a:schemeClr>
            </a:solidFill>
            <a:ln>
              <a:noFill/>
            </a:ln>
            <a:effectLst/>
          </c:spPr>
          <c:invertIfNegative val="0"/>
          <c:cat>
            <c:strRef>
              <c:f>PT_Region!$A$5:$A$10</c:f>
              <c:strCache>
                <c:ptCount val="5"/>
                <c:pt idx="0">
                  <c:v>Central</c:v>
                </c:pt>
                <c:pt idx="1">
                  <c:v>East</c:v>
                </c:pt>
                <c:pt idx="2">
                  <c:v>North</c:v>
                </c:pt>
                <c:pt idx="3">
                  <c:v>South</c:v>
                </c:pt>
                <c:pt idx="4">
                  <c:v>West</c:v>
                </c:pt>
              </c:strCache>
            </c:strRef>
          </c:cat>
          <c:val>
            <c:numRef>
              <c:f>PT_Region!$H$5:$H$10</c:f>
              <c:numCache>
                <c:formatCode>General</c:formatCode>
                <c:ptCount val="5"/>
                <c:pt idx="0">
                  <c:v>165311.14399999991</c:v>
                </c:pt>
                <c:pt idx="1">
                  <c:v>106910.27350000002</c:v>
                </c:pt>
                <c:pt idx="2">
                  <c:v>157017.17899999995</c:v>
                </c:pt>
                <c:pt idx="3">
                  <c:v>105422.44899999999</c:v>
                </c:pt>
                <c:pt idx="4">
                  <c:v>149878.34</c:v>
                </c:pt>
              </c:numCache>
            </c:numRef>
          </c:val>
          <c:extLst>
            <c:ext xmlns:c16="http://schemas.microsoft.com/office/drawing/2014/chart" uri="{C3380CC4-5D6E-409C-BE32-E72D297353CC}">
              <c16:uniqueId val="{00000006-A5AE-49D3-BF91-07BF0081A25C}"/>
            </c:ext>
          </c:extLst>
        </c:ser>
        <c:dLbls>
          <c:showLegendKey val="0"/>
          <c:showVal val="0"/>
          <c:showCatName val="0"/>
          <c:showSerName val="0"/>
          <c:showPercent val="0"/>
          <c:showBubbleSize val="0"/>
        </c:dLbls>
        <c:gapWidth val="182"/>
        <c:axId val="158699855"/>
        <c:axId val="158698415"/>
      </c:barChart>
      <c:catAx>
        <c:axId val="15869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8415"/>
        <c:crosses val="autoZero"/>
        <c:auto val="1"/>
        <c:lblAlgn val="ctr"/>
        <c:lblOffset val="100"/>
        <c:noMultiLvlLbl val="0"/>
      </c:catAx>
      <c:valAx>
        <c:axId val="15869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[Product-Sales-Region.xlsx]PT_SalesRep!PivotTable4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2000"/>
              <a:t>Sales Rep Performance</a:t>
            </a:r>
          </a:p>
          <a:p>
            <a:pPr>
              <a:defRPr/>
            </a:pPr>
            <a:endParaRPr lang="en-IN"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PT_SalesRep!$B$3</c:f>
              <c:strCache>
                <c:ptCount val="1"/>
                <c:pt idx="0">
                  <c:v>Sum of TotalPrice</c:v>
                </c:pt>
              </c:strCache>
            </c:strRef>
          </c:tx>
          <c:spPr>
            <a:solidFill>
              <a:schemeClr val="accent1"/>
            </a:solidFill>
            <a:ln>
              <a:noFill/>
            </a:ln>
            <a:effectLst/>
          </c:spPr>
          <c:invertIfNegative val="0"/>
          <c:cat>
            <c:strRef>
              <c:f>PT_SalesRep!$A$4:$A$10</c:f>
              <c:strCache>
                <c:ptCount val="6"/>
                <c:pt idx="0">
                  <c:v>Alice</c:v>
                </c:pt>
                <c:pt idx="1">
                  <c:v>Bob</c:v>
                </c:pt>
                <c:pt idx="2">
                  <c:v>Carlos</c:v>
                </c:pt>
                <c:pt idx="3">
                  <c:v>Diana</c:v>
                </c:pt>
                <c:pt idx="4">
                  <c:v>Eva</c:v>
                </c:pt>
                <c:pt idx="5">
                  <c:v>Frank</c:v>
                </c:pt>
              </c:strCache>
            </c:strRef>
          </c:cat>
          <c:val>
            <c:numRef>
              <c:f>PT_SalesRep!$B$4:$B$10</c:f>
              <c:numCache>
                <c:formatCode>General</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3A49-4DE0-816B-CB08E799D477}"/>
            </c:ext>
          </c:extLst>
        </c:ser>
        <c:ser>
          <c:idx val="1"/>
          <c:order val="1"/>
          <c:tx>
            <c:strRef>
              <c:f>PT_SalesRep!$C$3</c:f>
              <c:strCache>
                <c:ptCount val="1"/>
                <c:pt idx="0">
                  <c:v>Sum of Quantity</c:v>
                </c:pt>
              </c:strCache>
            </c:strRef>
          </c:tx>
          <c:spPr>
            <a:solidFill>
              <a:schemeClr val="accent2"/>
            </a:solidFill>
            <a:ln>
              <a:noFill/>
            </a:ln>
            <a:effectLst/>
          </c:spPr>
          <c:invertIfNegative val="0"/>
          <c:cat>
            <c:strRef>
              <c:f>PT_SalesRep!$A$4:$A$10</c:f>
              <c:strCache>
                <c:ptCount val="6"/>
                <c:pt idx="0">
                  <c:v>Alice</c:v>
                </c:pt>
                <c:pt idx="1">
                  <c:v>Bob</c:v>
                </c:pt>
                <c:pt idx="2">
                  <c:v>Carlos</c:v>
                </c:pt>
                <c:pt idx="3">
                  <c:v>Diana</c:v>
                </c:pt>
                <c:pt idx="4">
                  <c:v>Eva</c:v>
                </c:pt>
                <c:pt idx="5">
                  <c:v>Frank</c:v>
                </c:pt>
              </c:strCache>
            </c:strRef>
          </c:cat>
          <c:val>
            <c:numRef>
              <c:f>PT_SalesRep!$C$4:$C$10</c:f>
              <c:numCache>
                <c:formatCode>General</c:formatCode>
                <c:ptCount val="6"/>
                <c:pt idx="0">
                  <c:v>2732</c:v>
                </c:pt>
                <c:pt idx="1">
                  <c:v>2661</c:v>
                </c:pt>
                <c:pt idx="2">
                  <c:v>2699</c:v>
                </c:pt>
                <c:pt idx="3">
                  <c:v>2548</c:v>
                </c:pt>
                <c:pt idx="4">
                  <c:v>2452</c:v>
                </c:pt>
                <c:pt idx="5">
                  <c:v>2524</c:v>
                </c:pt>
              </c:numCache>
            </c:numRef>
          </c:val>
          <c:extLst>
            <c:ext xmlns:c16="http://schemas.microsoft.com/office/drawing/2014/chart" uri="{C3380CC4-5D6E-409C-BE32-E72D297353CC}">
              <c16:uniqueId val="{00000001-3A49-4DE0-816B-CB08E799D477}"/>
            </c:ext>
          </c:extLst>
        </c:ser>
        <c:dLbls>
          <c:showLegendKey val="0"/>
          <c:showVal val="0"/>
          <c:showCatName val="0"/>
          <c:showSerName val="0"/>
          <c:showPercent val="0"/>
          <c:showBubbleSize val="0"/>
        </c:dLbls>
        <c:gapWidth val="182"/>
        <c:axId val="672865583"/>
        <c:axId val="672866063"/>
      </c:barChart>
      <c:catAx>
        <c:axId val="67286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72866063"/>
        <c:crosses val="autoZero"/>
        <c:auto val="1"/>
        <c:lblAlgn val="ctr"/>
        <c:lblOffset val="100"/>
        <c:noMultiLvlLbl val="0"/>
      </c:catAx>
      <c:valAx>
        <c:axId val="67286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728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571500</xdr:colOff>
      <xdr:row>6</xdr:row>
      <xdr:rowOff>41910</xdr:rowOff>
    </xdr:from>
    <xdr:to>
      <xdr:col>11</xdr:col>
      <xdr:colOff>266700</xdr:colOff>
      <xdr:row>21</xdr:row>
      <xdr:rowOff>41910</xdr:rowOff>
    </xdr:to>
    <xdr:graphicFrame macro="">
      <xdr:nvGraphicFramePr>
        <xdr:cNvPr id="2" name="Monthly Revenue Trend">
          <a:extLst>
            <a:ext uri="{FF2B5EF4-FFF2-40B4-BE49-F238E27FC236}">
              <a16:creationId xmlns:a16="http://schemas.microsoft.com/office/drawing/2014/main" id="{81F42F6E-36AA-4999-2EFD-E86360C78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6</xdr:row>
      <xdr:rowOff>41910</xdr:rowOff>
    </xdr:from>
    <xdr:to>
      <xdr:col>11</xdr:col>
      <xdr:colOff>266700</xdr:colOff>
      <xdr:row>21</xdr:row>
      <xdr:rowOff>41910</xdr:rowOff>
    </xdr:to>
    <xdr:graphicFrame macro="">
      <xdr:nvGraphicFramePr>
        <xdr:cNvPr id="2" name="Chart 1">
          <a:extLst>
            <a:ext uri="{FF2B5EF4-FFF2-40B4-BE49-F238E27FC236}">
              <a16:creationId xmlns:a16="http://schemas.microsoft.com/office/drawing/2014/main" id="{D2B86776-DD3F-EC80-41F5-4F73F3BC9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11</xdr:row>
      <xdr:rowOff>11430</xdr:rowOff>
    </xdr:from>
    <xdr:to>
      <xdr:col>10</xdr:col>
      <xdr:colOff>160020</xdr:colOff>
      <xdr:row>26</xdr:row>
      <xdr:rowOff>11430</xdr:rowOff>
    </xdr:to>
    <xdr:graphicFrame macro="">
      <xdr:nvGraphicFramePr>
        <xdr:cNvPr id="2" name="Chart 1">
          <a:extLst>
            <a:ext uri="{FF2B5EF4-FFF2-40B4-BE49-F238E27FC236}">
              <a16:creationId xmlns:a16="http://schemas.microsoft.com/office/drawing/2014/main" id="{ED2F7631-407D-EBE1-E337-D1031D102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160020</xdr:colOff>
      <xdr:row>6</xdr:row>
      <xdr:rowOff>41910</xdr:rowOff>
    </xdr:from>
    <xdr:to>
      <xdr:col>10</xdr:col>
      <xdr:colOff>464820</xdr:colOff>
      <xdr:row>21</xdr:row>
      <xdr:rowOff>41910</xdr:rowOff>
    </xdr:to>
    <xdr:graphicFrame macro="">
      <xdr:nvGraphicFramePr>
        <xdr:cNvPr id="2" name="Chart 1">
          <a:extLst>
            <a:ext uri="{FF2B5EF4-FFF2-40B4-BE49-F238E27FC236}">
              <a16:creationId xmlns:a16="http://schemas.microsoft.com/office/drawing/2014/main" id="{3E9D0F56-6018-E254-338A-91A1D088B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143324</xdr:colOff>
      <xdr:row>22</xdr:row>
      <xdr:rowOff>61687</xdr:rowOff>
    </xdr:from>
    <xdr:to>
      <xdr:col>3</xdr:col>
      <xdr:colOff>2400300</xdr:colOff>
      <xdr:row>39</xdr:row>
      <xdr:rowOff>139700</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C2ED54C2-C666-440E-A1D8-1C5D8E439DF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3324" y="5116287"/>
              <a:ext cx="3793676" cy="3100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1625600</xdr:colOff>
      <xdr:row>4</xdr:row>
      <xdr:rowOff>152401</xdr:rowOff>
    </xdr:from>
    <xdr:to>
      <xdr:col>10</xdr:col>
      <xdr:colOff>38100</xdr:colOff>
      <xdr:row>21</xdr:row>
      <xdr:rowOff>38101</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70B21FB4-018E-42B9-B437-F6D4AFDD725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510642" y="2090057"/>
              <a:ext cx="2166258" cy="2824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2628900</xdr:colOff>
      <xdr:row>22</xdr:row>
      <xdr:rowOff>27215</xdr:rowOff>
    </xdr:from>
    <xdr:to>
      <xdr:col>11</xdr:col>
      <xdr:colOff>1422399</xdr:colOff>
      <xdr:row>39</xdr:row>
      <xdr:rowOff>139700</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23D85FEE-B2E5-4E9A-A9BC-170AE88A4F1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65600" y="5081815"/>
              <a:ext cx="3505199" cy="313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292100</xdr:colOff>
      <xdr:row>4</xdr:row>
      <xdr:rowOff>165101</xdr:rowOff>
    </xdr:from>
    <xdr:to>
      <xdr:col>17</xdr:col>
      <xdr:colOff>3060700</xdr:colOff>
      <xdr:row>20</xdr:row>
      <xdr:rowOff>101600</xdr:rowOff>
    </xdr:to>
    <xdr:graphicFrame macro="">
      <xdr:nvGraphicFramePr>
        <xdr:cNvPr id="17" name="Monthly Revenue Trend">
          <a:extLst>
            <a:ext uri="{FF2B5EF4-FFF2-40B4-BE49-F238E27FC236}">
              <a16:creationId xmlns:a16="http://schemas.microsoft.com/office/drawing/2014/main" id="{EC621B71-37E4-4690-A6AC-C8091F6C7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3365500</xdr:colOff>
      <xdr:row>4</xdr:row>
      <xdr:rowOff>136072</xdr:rowOff>
    </xdr:from>
    <xdr:to>
      <xdr:col>25</xdr:col>
      <xdr:colOff>4660900</xdr:colOff>
      <xdr:row>21</xdr:row>
      <xdr:rowOff>0</xdr:rowOff>
    </xdr:to>
    <xdr:graphicFrame macro="">
      <xdr:nvGraphicFramePr>
        <xdr:cNvPr id="19" name="Chart 18">
          <a:extLst>
            <a:ext uri="{FF2B5EF4-FFF2-40B4-BE49-F238E27FC236}">
              <a16:creationId xmlns:a16="http://schemas.microsoft.com/office/drawing/2014/main" id="{EE328FB5-C3C4-46A2-846B-610D9697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3378200</xdr:colOff>
      <xdr:row>22</xdr:row>
      <xdr:rowOff>14514</xdr:rowOff>
    </xdr:from>
    <xdr:to>
      <xdr:col>25</xdr:col>
      <xdr:colOff>4635500</xdr:colOff>
      <xdr:row>39</xdr:row>
      <xdr:rowOff>139700</xdr:rowOff>
    </xdr:to>
    <xdr:graphicFrame macro="">
      <xdr:nvGraphicFramePr>
        <xdr:cNvPr id="20" name="Chart 19">
          <a:extLst>
            <a:ext uri="{FF2B5EF4-FFF2-40B4-BE49-F238E27FC236}">
              <a16:creationId xmlns:a16="http://schemas.microsoft.com/office/drawing/2014/main" id="{905CCED2-CF40-467F-83E3-2FE973399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1536700</xdr:colOff>
      <xdr:row>21</xdr:row>
      <xdr:rowOff>139700</xdr:rowOff>
    </xdr:from>
    <xdr:to>
      <xdr:col>17</xdr:col>
      <xdr:colOff>3162300</xdr:colOff>
      <xdr:row>39</xdr:row>
      <xdr:rowOff>139700</xdr:rowOff>
    </xdr:to>
    <xdr:graphicFrame macro="">
      <xdr:nvGraphicFramePr>
        <xdr:cNvPr id="22" name="Chart 21">
          <a:extLst>
            <a:ext uri="{FF2B5EF4-FFF2-40B4-BE49-F238E27FC236}">
              <a16:creationId xmlns:a16="http://schemas.microsoft.com/office/drawing/2014/main" id="{CB923FFB-8596-40B9-96B7-C06E980AE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12700</xdr:colOff>
      <xdr:row>5</xdr:row>
      <xdr:rowOff>0</xdr:rowOff>
    </xdr:from>
    <xdr:to>
      <xdr:col>3</xdr:col>
      <xdr:colOff>1422400</xdr:colOff>
      <xdr:row>21</xdr:row>
      <xdr:rowOff>12700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91F607F9-B0F2-427B-BB19-CC2EF34485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0" y="2032000"/>
              <a:ext cx="2235200"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hura" refreshedDate="46130.619311342591" createdVersion="8" refreshedVersion="8" minRefreshableVersion="3" recordCount="1500" xr:uid="{8F6120C9-2763-4452-AD4A-09AEABF222F4}">
  <cacheSource type="worksheet">
    <worksheetSource name="SalesData"/>
  </cacheSource>
  <cacheFields count="21">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 numFmtId="0">
      <sharedItems count="30">
        <s v="Feb-2023"/>
        <s v="Dec-2024"/>
        <s v="May-2023"/>
        <s v="Feb-2025"/>
        <s v="Jun-2023"/>
        <s v="Feb-2024"/>
        <s v="Jan-2023"/>
        <s v="Oct-2024"/>
        <s v="Mar-2025"/>
        <s v="Apr-2024"/>
        <s v="Jul-2024"/>
        <s v="Jul-2023"/>
        <s v="Jan-2025"/>
        <s v="May-2025"/>
        <s v="May-2024"/>
        <s v="Nov-2023"/>
        <s v="Jun-2025"/>
        <s v="Mar-2023"/>
        <s v="Aug-2023"/>
        <s v="Oct-2023"/>
        <s v="Nov-2024"/>
        <s v="Apr-2023"/>
        <s v="Sep-2023"/>
        <s v="Jun-2024"/>
        <s v="Jan-2024"/>
        <s v="Mar-2024"/>
        <s v="Sep-2024"/>
        <s v="Dec-2023"/>
        <s v="Apr-2025"/>
        <s v="Aug-2024"/>
      </sharedItems>
    </cacheField>
    <cacheField name="Quarter" numFmtId="0">
      <sharedItems count="17">
        <s v="2023  Q10"/>
        <s v="2024  Q9"/>
        <s v="2023  Q12"/>
        <s v="2025  Q10"/>
        <s v="2024  Q4"/>
        <s v="2024  Q8"/>
        <s v="2025  Q11"/>
        <s v="2024  Q5"/>
        <s v="2024  Q7"/>
        <s v="2023  Q13"/>
        <s v="2025  Q12"/>
        <s v="2024  Q6"/>
        <s v="2023  Q15"/>
        <s v="2023  Q11"/>
        <s v="2023  Q14"/>
        <s v="2024  Q15"/>
        <s v="2024  Q10"/>
      </sharedItems>
    </cacheField>
  </cacheFields>
  <extLst>
    <ext xmlns:x14="http://schemas.microsoft.com/office/spreadsheetml/2009/9/main" uri="{725AE2AE-9491-48be-B2B4-4EB974FC3084}">
      <x14:pivotCacheDefinition pivotCacheId="171005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s v="Wholesale"/>
    <n v="0"/>
    <x v="0"/>
    <n v="2290.4"/>
    <s v="Online"/>
    <s v="FREESHIP"/>
    <n v="0"/>
    <s v="REG100000"/>
    <s v="Cust 6583"/>
    <n v="43.34"/>
    <d v="2023-02-23T00:00:00"/>
    <d v="2023-02-27T00:00:00"/>
    <s v="Eric"/>
    <x v="0"/>
    <x v="0"/>
  </r>
  <r>
    <d v="2024-12-19T00:00:00"/>
    <x v="1"/>
    <x v="1"/>
    <n v="1"/>
    <n v="544.01"/>
    <s v="Store A"/>
    <s v="Retail"/>
    <n v="0"/>
    <x v="1"/>
    <n v="544.01"/>
    <s v="Gift Card"/>
    <s v="SAVE10"/>
    <n v="0"/>
    <s v="REG100001"/>
    <s v="Cust 2144"/>
    <n v="5.3"/>
    <d v="2024-12-19T00:00:00"/>
    <d v="2024-12-28T00:00:00"/>
    <s v="Sophie"/>
    <x v="1"/>
    <x v="1"/>
  </r>
  <r>
    <d v="2023-05-10T00:00:00"/>
    <x v="2"/>
    <x v="2"/>
    <n v="14"/>
    <n v="346.18"/>
    <s v="Store B"/>
    <s v="Wholesale"/>
    <n v="0.1"/>
    <x v="1"/>
    <n v="4361.8680000000004"/>
    <s v="Online"/>
    <s v="WINTER15"/>
    <n v="0"/>
    <s v="REG100002"/>
    <s v="Cust 5998"/>
    <n v="20.46"/>
    <d v="2023-05-10T00:00:00"/>
    <d v="2023-05-19T00:00:00"/>
    <s v="Ryan"/>
    <x v="2"/>
    <x v="2"/>
  </r>
  <r>
    <d v="2025-02-26T00:00:00"/>
    <x v="3"/>
    <x v="3"/>
    <n v="18"/>
    <n v="384.82"/>
    <s v="Store A"/>
    <s v="Wholesale"/>
    <n v="0.15"/>
    <x v="2"/>
    <n v="5887.7460000000001"/>
    <s v="Gift Card"/>
    <s v="FREESHIP"/>
    <n v="0"/>
    <s v="REG100003"/>
    <s v="Cust 7136"/>
    <n v="27.95"/>
    <d v="2025-02-26T00:00:00"/>
    <d v="2025-03-02T00:00:00"/>
    <s v="Cameron"/>
    <x v="3"/>
    <x v="3"/>
  </r>
  <r>
    <d v="2023-06-24T00:00:00"/>
    <x v="0"/>
    <x v="2"/>
    <n v="18"/>
    <n v="237.76"/>
    <s v="Store C"/>
    <s v="Retail"/>
    <n v="0"/>
    <x v="3"/>
    <n v="4279.68"/>
    <s v="Online"/>
    <s v="SAVE10"/>
    <n v="0"/>
    <s v="REG100004"/>
    <s v="Cust 6506"/>
    <n v="5.73"/>
    <d v="2023-06-24T00:00:00"/>
    <d v="2023-06-27T00:00:00"/>
    <s v="Eric"/>
    <x v="4"/>
    <x v="2"/>
  </r>
  <r>
    <d v="2024-02-20T00:00:00"/>
    <x v="3"/>
    <x v="4"/>
    <n v="2"/>
    <n v="385.09"/>
    <s v="Store D"/>
    <s v="Wholesale"/>
    <n v="0.15"/>
    <x v="4"/>
    <n v="654.65299999999991"/>
    <s v="Credit Card"/>
    <m/>
    <n v="0"/>
    <s v="REG100005"/>
    <s v="Cust 3909"/>
    <n v="11.92"/>
    <d v="2024-02-20T00:00:00"/>
    <d v="2024-03-01T00:00:00"/>
    <s v="Cameron"/>
    <x v="5"/>
    <x v="4"/>
  </r>
  <r>
    <d v="2023-01-11T00:00:00"/>
    <x v="1"/>
    <x v="3"/>
    <n v="7"/>
    <n v="17.5"/>
    <s v="Store C"/>
    <s v="Retail"/>
    <n v="0.1"/>
    <x v="1"/>
    <n v="110.25"/>
    <s v="Debit Card"/>
    <s v="WINTER15"/>
    <n v="0"/>
    <s v="REG100006"/>
    <s v="Cust 7887"/>
    <n v="5.0199999999999996"/>
    <d v="2023-01-11T00:00:00"/>
    <d v="2023-01-14T00:00:00"/>
    <s v="Sophie"/>
    <x v="6"/>
    <x v="0"/>
  </r>
  <r>
    <d v="2023-01-09T00:00:00"/>
    <x v="3"/>
    <x v="3"/>
    <n v="3"/>
    <n v="330.22"/>
    <s v="Store C"/>
    <s v="Wholesale"/>
    <n v="0.15"/>
    <x v="3"/>
    <n v="842.06100000000004"/>
    <s v="Cash"/>
    <m/>
    <n v="0"/>
    <s v="REG100007"/>
    <s v="Cust 5301"/>
    <n v="48.01"/>
    <d v="2023-01-09T00:00:00"/>
    <d v="2023-01-11T00:00:00"/>
    <s v="Cameron"/>
    <x v="6"/>
    <x v="0"/>
  </r>
  <r>
    <d v="2024-10-16T00:00:00"/>
    <x v="1"/>
    <x v="3"/>
    <n v="3"/>
    <n v="432.04"/>
    <s v="Store D"/>
    <s v="Wholesale"/>
    <n v="0.05"/>
    <x v="5"/>
    <n v="1231.3140000000001"/>
    <s v="Debit Card"/>
    <s v="FREESHIP"/>
    <n v="1"/>
    <s v="REG100008"/>
    <s v="Cust 2284"/>
    <n v="42.11"/>
    <d v="2024-10-16T00:00:00"/>
    <d v="2024-10-18T00:00:00"/>
    <s v="Sophie"/>
    <x v="7"/>
    <x v="5"/>
  </r>
  <r>
    <d v="2025-03-05T00:00:00"/>
    <x v="4"/>
    <x v="2"/>
    <n v="5"/>
    <n v="323.27999999999997"/>
    <s v="Store D"/>
    <s v="Retail"/>
    <n v="0.1"/>
    <x v="2"/>
    <n v="1454.76"/>
    <s v="Gift Card"/>
    <s v="SAVE10"/>
    <n v="0"/>
    <s v="REG100009"/>
    <s v="Cust 3732"/>
    <n v="41.1"/>
    <d v="2025-03-05T00:00:00"/>
    <d v="2025-03-13T00:00:00"/>
    <s v="Wendy"/>
    <x v="8"/>
    <x v="6"/>
  </r>
  <r>
    <d v="2024-04-10T00:00:00"/>
    <x v="2"/>
    <x v="2"/>
    <n v="15"/>
    <n v="523.29"/>
    <s v="Store B"/>
    <s v="Wholesale"/>
    <n v="0.15"/>
    <x v="0"/>
    <n v="6671.9474999999993"/>
    <s v="Debit Card"/>
    <m/>
    <n v="0"/>
    <s v="REG100010"/>
    <s v="Cust 1462"/>
    <n v="12.14"/>
    <d v="2024-04-10T00:00:00"/>
    <d v="2024-04-17T00:00:00"/>
    <s v="Ryan"/>
    <x v="9"/>
    <x v="7"/>
  </r>
  <r>
    <d v="2024-07-12T00:00:00"/>
    <x v="0"/>
    <x v="1"/>
    <n v="19"/>
    <n v="207.35"/>
    <s v="Store D"/>
    <s v="Retail"/>
    <n v="0.1"/>
    <x v="0"/>
    <n v="3545.6849999999999"/>
    <s v="Gift Card"/>
    <m/>
    <n v="1"/>
    <s v="REG100011"/>
    <s v="Cust 4330"/>
    <n v="44.89"/>
    <d v="2024-07-12T00:00:00"/>
    <d v="2024-07-18T00:00:00"/>
    <s v="Eric"/>
    <x v="10"/>
    <x v="8"/>
  </r>
  <r>
    <d v="2023-07-21T00:00:00"/>
    <x v="3"/>
    <x v="1"/>
    <n v="1"/>
    <n v="120.53"/>
    <s v="Store B"/>
    <s v="Retail"/>
    <n v="0.05"/>
    <x v="4"/>
    <n v="114.5035"/>
    <s v="Cash"/>
    <s v="WINTER15"/>
    <n v="0"/>
    <s v="REG100012"/>
    <s v="Cust 2372"/>
    <n v="20.350000000000001"/>
    <d v="2023-07-21T00:00:00"/>
    <d v="2023-07-31T00:00:00"/>
    <s v="Cameron"/>
    <x v="11"/>
    <x v="9"/>
  </r>
  <r>
    <d v="2025-01-18T00:00:00"/>
    <x v="4"/>
    <x v="5"/>
    <n v="1"/>
    <n v="157.83000000000001"/>
    <s v="Store A"/>
    <s v="Wholesale"/>
    <n v="0.15"/>
    <x v="3"/>
    <n v="134.15549999999999"/>
    <s v="Debit Card"/>
    <m/>
    <n v="0"/>
    <s v="REG100013"/>
    <s v="Cust 4672"/>
    <n v="42.82"/>
    <d v="2025-01-18T00:00:00"/>
    <d v="2025-01-22T00:00:00"/>
    <s v="Wendy"/>
    <x v="12"/>
    <x v="3"/>
  </r>
  <r>
    <d v="2024-12-08T00:00:00"/>
    <x v="2"/>
    <x v="2"/>
    <n v="15"/>
    <n v="220.3"/>
    <s v="Store B"/>
    <s v="Retail"/>
    <n v="0.15"/>
    <x v="4"/>
    <n v="2808.8249999999998"/>
    <s v="Debit Card"/>
    <m/>
    <n v="0"/>
    <s v="REG100014"/>
    <s v="Cust 4548"/>
    <n v="39.659999999999997"/>
    <d v="2024-12-08T00:00:00"/>
    <d v="2024-12-15T00:00:00"/>
    <s v="Ryan"/>
    <x v="1"/>
    <x v="1"/>
  </r>
  <r>
    <d v="2025-05-11T00:00:00"/>
    <x v="4"/>
    <x v="3"/>
    <n v="17"/>
    <n v="162.96"/>
    <s v="Store A"/>
    <s v="Wholesale"/>
    <n v="0.05"/>
    <x v="0"/>
    <n v="2631.8040000000001"/>
    <s v="Gift Card"/>
    <s v="FREESHIP"/>
    <n v="0"/>
    <s v="REG100015"/>
    <s v="Cust 7037"/>
    <n v="8.11"/>
    <d v="2025-05-11T00:00:00"/>
    <d v="2025-05-17T00:00:00"/>
    <s v="Wendy"/>
    <x v="13"/>
    <x v="10"/>
  </r>
  <r>
    <d v="2023-02-26T00:00:00"/>
    <x v="4"/>
    <x v="0"/>
    <n v="19"/>
    <n v="236.11"/>
    <s v="Store D"/>
    <s v="Wholesale"/>
    <n v="0"/>
    <x v="5"/>
    <n v="4486.09"/>
    <s v="Online"/>
    <s v="WINTER15"/>
    <n v="0"/>
    <s v="REG100016"/>
    <s v="Cust 4975"/>
    <n v="34.11"/>
    <d v="2023-02-26T00:00:00"/>
    <d v="2023-03-04T00:00:00"/>
    <s v="Wendy"/>
    <x v="0"/>
    <x v="0"/>
  </r>
  <r>
    <d v="2024-05-28T00:00:00"/>
    <x v="3"/>
    <x v="2"/>
    <n v="11"/>
    <n v="573.14"/>
    <s v="Store D"/>
    <s v="Retail"/>
    <n v="0.05"/>
    <x v="4"/>
    <n v="5989.3130000000001"/>
    <s v="Cash"/>
    <s v="SAVE10"/>
    <n v="0"/>
    <s v="REG100017"/>
    <s v="Cust 8014"/>
    <n v="34.71"/>
    <d v="2024-05-28T00:00:00"/>
    <d v="2024-06-01T00:00:00"/>
    <s v="Cameron"/>
    <x v="14"/>
    <x v="11"/>
  </r>
  <r>
    <d v="2023-11-30T00:00:00"/>
    <x v="0"/>
    <x v="1"/>
    <n v="20"/>
    <n v="519.04"/>
    <s v="Store B"/>
    <s v="Retail"/>
    <n v="0.15"/>
    <x v="3"/>
    <n v="8823.6799999999985"/>
    <s v="Gift Card"/>
    <s v="FREESHIP"/>
    <n v="0"/>
    <s v="REG100018"/>
    <s v="Cust 1228"/>
    <n v="19.43"/>
    <d v="2023-11-30T00:00:00"/>
    <d v="2023-12-08T00:00:00"/>
    <s v="Eric"/>
    <x v="15"/>
    <x v="12"/>
  </r>
  <r>
    <d v="2023-06-22T00:00:00"/>
    <x v="4"/>
    <x v="2"/>
    <n v="14"/>
    <n v="30.83"/>
    <s v="Store B"/>
    <s v="Retail"/>
    <n v="0"/>
    <x v="3"/>
    <n v="431.62"/>
    <s v="Online"/>
    <s v="WINTER15"/>
    <n v="1"/>
    <s v="REG100019"/>
    <s v="Cust 4247"/>
    <n v="7.1"/>
    <d v="2023-06-22T00:00:00"/>
    <d v="2023-07-02T00:00:00"/>
    <s v="Wendy"/>
    <x v="4"/>
    <x v="2"/>
  </r>
  <r>
    <d v="2025-06-05T00:00:00"/>
    <x v="4"/>
    <x v="1"/>
    <n v="10"/>
    <n v="319.05"/>
    <s v="Store D"/>
    <s v="Wholesale"/>
    <n v="0"/>
    <x v="4"/>
    <n v="3190.5"/>
    <s v="Online"/>
    <m/>
    <n v="0"/>
    <s v="REG100020"/>
    <s v="Cust 4199"/>
    <n v="28.43"/>
    <d v="2025-06-05T00:00:00"/>
    <d v="2025-06-08T00:00:00"/>
    <s v="Wendy"/>
    <x v="16"/>
    <x v="10"/>
  </r>
  <r>
    <d v="2023-03-03T00:00:00"/>
    <x v="3"/>
    <x v="3"/>
    <n v="14"/>
    <n v="312.79000000000002"/>
    <s v="Store A"/>
    <s v="Retail"/>
    <n v="0.05"/>
    <x v="5"/>
    <n v="4160.107"/>
    <s v="Online"/>
    <m/>
    <n v="1"/>
    <s v="REG100021"/>
    <s v="Cust 4186"/>
    <n v="46.83"/>
    <d v="2023-03-03T00:00:00"/>
    <d v="2023-03-08T00:00:00"/>
    <s v="Cameron"/>
    <x v="17"/>
    <x v="13"/>
  </r>
  <r>
    <d v="2024-02-18T00:00:00"/>
    <x v="2"/>
    <x v="0"/>
    <n v="14"/>
    <n v="395.45"/>
    <s v="Store C"/>
    <s v="Retail"/>
    <n v="0"/>
    <x v="3"/>
    <n v="5536.3"/>
    <s v="Cash"/>
    <s v="FREESHIP"/>
    <n v="1"/>
    <s v="REG100022"/>
    <s v="Cust 8137"/>
    <n v="36.450000000000003"/>
    <d v="2024-02-18T00:00:00"/>
    <d v="2024-02-22T00:00:00"/>
    <s v="Ryan"/>
    <x v="5"/>
    <x v="4"/>
  </r>
  <r>
    <d v="2023-08-06T00:00:00"/>
    <x v="3"/>
    <x v="0"/>
    <n v="12"/>
    <n v="472.72"/>
    <s v="Store D"/>
    <s v="Retail"/>
    <n v="0.15"/>
    <x v="4"/>
    <n v="4821.7440000000006"/>
    <s v="Credit Card"/>
    <m/>
    <n v="0"/>
    <s v="REG100023"/>
    <s v="Cust 4638"/>
    <n v="27.97"/>
    <d v="2023-08-06T00:00:00"/>
    <d v="2023-08-14T00:00:00"/>
    <s v="Cameron"/>
    <x v="18"/>
    <x v="9"/>
  </r>
  <r>
    <d v="2024-05-23T00:00:00"/>
    <x v="2"/>
    <x v="2"/>
    <n v="5"/>
    <n v="288.01"/>
    <s v="Store A"/>
    <s v="Wholesale"/>
    <n v="0"/>
    <x v="0"/>
    <n v="1440.05"/>
    <s v="Credit Card"/>
    <s v="FREESHIP"/>
    <n v="0"/>
    <s v="REG100024"/>
    <s v="Cust 8538"/>
    <n v="46.69"/>
    <d v="2024-05-23T00:00:00"/>
    <d v="2024-05-30T00:00:00"/>
    <s v="Ryan"/>
    <x v="14"/>
    <x v="11"/>
  </r>
  <r>
    <d v="2023-10-23T00:00:00"/>
    <x v="0"/>
    <x v="1"/>
    <n v="13"/>
    <n v="562.29"/>
    <s v="Store D"/>
    <s v="Retail"/>
    <n v="0"/>
    <x v="4"/>
    <n v="7309.77"/>
    <s v="Gift Card"/>
    <s v="SAVE10"/>
    <n v="0"/>
    <s v="REG100025"/>
    <s v="Cust 6322"/>
    <n v="38.130000000000003"/>
    <d v="2023-10-23T00:00:00"/>
    <d v="2023-10-28T00:00:00"/>
    <s v="Eric"/>
    <x v="19"/>
    <x v="14"/>
  </r>
  <r>
    <d v="2025-06-16T00:00:00"/>
    <x v="4"/>
    <x v="1"/>
    <n v="1"/>
    <n v="101.73"/>
    <s v="Store D"/>
    <s v="Retail"/>
    <n v="0"/>
    <x v="2"/>
    <n v="101.73"/>
    <s v="Debit Card"/>
    <s v="WINTER15"/>
    <n v="0"/>
    <s v="REG100026"/>
    <s v="Cust 2609"/>
    <n v="11.59"/>
    <d v="2025-06-16T00:00:00"/>
    <d v="2025-06-25T00:00:00"/>
    <s v="Wendy"/>
    <x v="16"/>
    <x v="10"/>
  </r>
  <r>
    <d v="2023-03-03T00:00:00"/>
    <x v="2"/>
    <x v="1"/>
    <n v="4"/>
    <n v="279.49"/>
    <s v="Store B"/>
    <s v="Retail"/>
    <n v="0"/>
    <x v="4"/>
    <n v="1117.96"/>
    <s v="Credit Card"/>
    <s v="FREESHIP"/>
    <n v="0"/>
    <s v="REG100027"/>
    <s v="Cust 6880"/>
    <n v="24.78"/>
    <d v="2023-03-03T00:00:00"/>
    <d v="2023-03-08T00:00:00"/>
    <s v="Ryan"/>
    <x v="17"/>
    <x v="13"/>
  </r>
  <r>
    <d v="2024-11-18T00:00:00"/>
    <x v="1"/>
    <x v="0"/>
    <n v="1"/>
    <n v="178.55"/>
    <s v="Store A"/>
    <s v="Retail"/>
    <n v="0.15"/>
    <x v="3"/>
    <n v="151.76750000000001"/>
    <s v="Debit Card"/>
    <s v="SAVE10"/>
    <n v="1"/>
    <s v="REG100028"/>
    <s v="Cust 1997"/>
    <n v="7.61"/>
    <d v="2024-11-18T00:00:00"/>
    <d v="2024-11-21T00:00:00"/>
    <s v="Sophie"/>
    <x v="20"/>
    <x v="1"/>
  </r>
  <r>
    <d v="2023-05-09T00:00:00"/>
    <x v="3"/>
    <x v="5"/>
    <n v="1"/>
    <n v="472.07"/>
    <s v="Store A"/>
    <s v="Wholesale"/>
    <n v="0.1"/>
    <x v="3"/>
    <n v="424.863"/>
    <s v="Online"/>
    <s v="FREESHIP"/>
    <n v="0"/>
    <s v="REG100029"/>
    <s v="Cust 7072"/>
    <n v="33.17"/>
    <d v="2023-05-09T00:00:00"/>
    <d v="2023-05-17T00:00:00"/>
    <s v="Cameron"/>
    <x v="2"/>
    <x v="2"/>
  </r>
  <r>
    <d v="2024-12-07T00:00:00"/>
    <x v="2"/>
    <x v="5"/>
    <n v="12"/>
    <n v="306.29000000000002"/>
    <s v="Store D"/>
    <s v="Retail"/>
    <n v="0"/>
    <x v="2"/>
    <n v="3675.48"/>
    <s v="Debit Card"/>
    <s v="SAVE10"/>
    <n v="0"/>
    <s v="REG100030"/>
    <s v="Cust 7201"/>
    <n v="37.380000000000003"/>
    <d v="2024-12-07T00:00:00"/>
    <d v="2024-12-14T00:00:00"/>
    <s v="Ryan"/>
    <x v="1"/>
    <x v="1"/>
  </r>
  <r>
    <d v="2024-02-13T00:00:00"/>
    <x v="2"/>
    <x v="1"/>
    <n v="7"/>
    <n v="434.77"/>
    <s v="Store C"/>
    <s v="Retail"/>
    <n v="0.15"/>
    <x v="2"/>
    <n v="2586.8815"/>
    <s v="Online"/>
    <s v="SAVE10"/>
    <n v="0"/>
    <s v="REG100031"/>
    <s v="Cust 9923"/>
    <n v="12.35"/>
    <d v="2024-02-13T00:00:00"/>
    <d v="2024-02-15T00:00:00"/>
    <s v="Ryan"/>
    <x v="5"/>
    <x v="4"/>
  </r>
  <r>
    <d v="2025-03-09T00:00:00"/>
    <x v="1"/>
    <x v="2"/>
    <n v="6"/>
    <n v="64.98"/>
    <s v="Store C"/>
    <s v="Retail"/>
    <n v="0"/>
    <x v="3"/>
    <n v="389.88"/>
    <s v="Debit Card"/>
    <s v="WINTER15"/>
    <n v="0"/>
    <s v="REG100032"/>
    <s v="Cust 2205"/>
    <n v="21.25"/>
    <d v="2025-03-09T00:00:00"/>
    <d v="2025-03-15T00:00:00"/>
    <s v="Sophie"/>
    <x v="8"/>
    <x v="6"/>
  </r>
  <r>
    <d v="2023-04-05T00:00:00"/>
    <x v="3"/>
    <x v="2"/>
    <n v="17"/>
    <n v="476.49"/>
    <s v="Store D"/>
    <s v="Retail"/>
    <n v="0"/>
    <x v="1"/>
    <n v="8100.33"/>
    <s v="Gift Card"/>
    <m/>
    <n v="0"/>
    <s v="REG100033"/>
    <s v="Cust 6403"/>
    <n v="17.91"/>
    <d v="2023-04-05T00:00:00"/>
    <d v="2023-04-11T00:00:00"/>
    <s v="Cameron"/>
    <x v="21"/>
    <x v="13"/>
  </r>
  <r>
    <d v="2025-05-08T00:00:00"/>
    <x v="2"/>
    <x v="4"/>
    <n v="4"/>
    <n v="559.72"/>
    <s v="Store D"/>
    <s v="Retail"/>
    <n v="0.15"/>
    <x v="4"/>
    <n v="1903.048"/>
    <s v="Online"/>
    <s v="SAVE10"/>
    <n v="0"/>
    <s v="REG100034"/>
    <s v="Cust 3953"/>
    <n v="41.91"/>
    <d v="2025-05-08T00:00:00"/>
    <d v="2025-05-12T00:00:00"/>
    <s v="Ryan"/>
    <x v="13"/>
    <x v="10"/>
  </r>
  <r>
    <d v="2023-09-03T00:00:00"/>
    <x v="2"/>
    <x v="5"/>
    <n v="14"/>
    <n v="82.14"/>
    <s v="Store C"/>
    <s v="Retail"/>
    <n v="0"/>
    <x v="1"/>
    <n v="1149.96"/>
    <s v="Credit Card"/>
    <m/>
    <n v="0"/>
    <s v="REG100035"/>
    <s v="Cust 7902"/>
    <n v="12.57"/>
    <d v="2023-09-03T00:00:00"/>
    <d v="2023-09-11T00:00:00"/>
    <s v="Ryan"/>
    <x v="22"/>
    <x v="14"/>
  </r>
  <r>
    <d v="2025-03-21T00:00:00"/>
    <x v="3"/>
    <x v="3"/>
    <n v="9"/>
    <n v="343.21"/>
    <s v="Store A"/>
    <s v="Retail"/>
    <n v="0.05"/>
    <x v="3"/>
    <n v="2934.4454999999998"/>
    <s v="Debit Card"/>
    <s v="FREESHIP"/>
    <n v="0"/>
    <s v="REG100036"/>
    <s v="Cust 9968"/>
    <n v="40.29"/>
    <d v="2025-03-21T00:00:00"/>
    <d v="2025-03-28T00:00:00"/>
    <s v="Cameron"/>
    <x v="8"/>
    <x v="6"/>
  </r>
  <r>
    <d v="2025-06-20T00:00:00"/>
    <x v="1"/>
    <x v="3"/>
    <n v="7"/>
    <n v="301.01"/>
    <s v="Store B"/>
    <s v="Retail"/>
    <n v="0.15"/>
    <x v="4"/>
    <n v="1791.0094999999999"/>
    <s v="Cash"/>
    <s v="SAVE10"/>
    <n v="1"/>
    <s v="REG100037"/>
    <s v="Cust 3787"/>
    <n v="34.97"/>
    <d v="2025-06-20T00:00:00"/>
    <d v="2025-06-30T00:00:00"/>
    <s v="Sophie"/>
    <x v="16"/>
    <x v="10"/>
  </r>
  <r>
    <d v="2024-02-15T00:00:00"/>
    <x v="3"/>
    <x v="6"/>
    <n v="14"/>
    <n v="428.13"/>
    <s v="Store C"/>
    <s v="Retail"/>
    <n v="0.1"/>
    <x v="5"/>
    <n v="5394.4380000000001"/>
    <s v="Cash"/>
    <m/>
    <n v="1"/>
    <s v="REG100038"/>
    <s v="Cust 2469"/>
    <n v="24.77"/>
    <d v="2024-02-15T00:00:00"/>
    <d v="2024-02-25T00:00:00"/>
    <s v="Cameron"/>
    <x v="5"/>
    <x v="4"/>
  </r>
  <r>
    <d v="2023-06-09T00:00:00"/>
    <x v="3"/>
    <x v="0"/>
    <n v="2"/>
    <n v="503.28"/>
    <s v="Store D"/>
    <s v="Retail"/>
    <n v="0.15"/>
    <x v="1"/>
    <n v="855.57599999999991"/>
    <s v="Gift Card"/>
    <m/>
    <n v="0"/>
    <s v="REG100039"/>
    <s v="Cust 6468"/>
    <n v="34.79"/>
    <d v="2023-06-09T00:00:00"/>
    <d v="2023-06-17T00:00:00"/>
    <s v="Cameron"/>
    <x v="4"/>
    <x v="2"/>
  </r>
  <r>
    <d v="2023-08-10T00:00:00"/>
    <x v="1"/>
    <x v="6"/>
    <n v="5"/>
    <n v="470.32"/>
    <s v="Store A"/>
    <s v="Retail"/>
    <n v="0.1"/>
    <x v="0"/>
    <n v="2116.44"/>
    <s v="Debit Card"/>
    <s v="SAVE10"/>
    <n v="0"/>
    <s v="REG100040"/>
    <s v="Cust 5312"/>
    <n v="17.77"/>
    <d v="2023-08-10T00:00:00"/>
    <d v="2023-08-14T00:00:00"/>
    <s v="Sophie"/>
    <x v="18"/>
    <x v="9"/>
  </r>
  <r>
    <d v="2024-06-16T00:00:00"/>
    <x v="3"/>
    <x v="6"/>
    <n v="20"/>
    <n v="65.17"/>
    <s v="Store C"/>
    <s v="Wholesale"/>
    <n v="0.05"/>
    <x v="0"/>
    <n v="1238.23"/>
    <s v="Gift Card"/>
    <s v="FREESHIP"/>
    <n v="0"/>
    <s v="REG100041"/>
    <s v="Cust 1482"/>
    <n v="21.72"/>
    <d v="2024-06-16T00:00:00"/>
    <d v="2024-06-25T00:00:00"/>
    <s v="Cameron"/>
    <x v="23"/>
    <x v="11"/>
  </r>
  <r>
    <d v="2023-07-23T00:00:00"/>
    <x v="1"/>
    <x v="0"/>
    <n v="12"/>
    <n v="36.17"/>
    <s v="Store A"/>
    <s v="Retail"/>
    <n v="0"/>
    <x v="0"/>
    <n v="434.04"/>
    <s v="Online"/>
    <s v="WINTER15"/>
    <n v="0"/>
    <s v="REG100042"/>
    <s v="Cust 7903"/>
    <n v="34.85"/>
    <d v="2023-07-23T00:00:00"/>
    <d v="2023-07-26T00:00:00"/>
    <s v="Sophie"/>
    <x v="11"/>
    <x v="9"/>
  </r>
  <r>
    <d v="2023-05-20T00:00:00"/>
    <x v="3"/>
    <x v="6"/>
    <n v="4"/>
    <n v="459.31"/>
    <s v="Store D"/>
    <s v="Wholesale"/>
    <n v="0.15"/>
    <x v="3"/>
    <n v="1561.654"/>
    <s v="Gift Card"/>
    <s v="WINTER15"/>
    <n v="1"/>
    <s v="REG100043"/>
    <s v="Cust 9605"/>
    <n v="27.39"/>
    <d v="2023-05-20T00:00:00"/>
    <d v="2023-05-27T00:00:00"/>
    <s v="Cameron"/>
    <x v="2"/>
    <x v="2"/>
  </r>
  <r>
    <d v="2023-06-30T00:00:00"/>
    <x v="1"/>
    <x v="0"/>
    <n v="2"/>
    <n v="416.06"/>
    <s v="Store D"/>
    <s v="Retail"/>
    <n v="0.05"/>
    <x v="0"/>
    <n v="790.51400000000001"/>
    <s v="Debit Card"/>
    <s v="SAVE10"/>
    <n v="0"/>
    <s v="REG100044"/>
    <s v="Cust 3298"/>
    <n v="11.62"/>
    <d v="2023-06-30T00:00:00"/>
    <d v="2023-07-04T00:00:00"/>
    <s v="Sophie"/>
    <x v="4"/>
    <x v="2"/>
  </r>
  <r>
    <d v="2024-06-04T00:00:00"/>
    <x v="1"/>
    <x v="5"/>
    <n v="16"/>
    <n v="302.58"/>
    <s v="Store D"/>
    <s v="Retail"/>
    <n v="0"/>
    <x v="1"/>
    <n v="4841.28"/>
    <s v="Online"/>
    <s v="WINTER15"/>
    <n v="1"/>
    <s v="REG100045"/>
    <s v="Cust 5533"/>
    <n v="20.76"/>
    <d v="2024-06-04T00:00:00"/>
    <d v="2024-06-14T00:00:00"/>
    <s v="Sophie"/>
    <x v="23"/>
    <x v="11"/>
  </r>
  <r>
    <d v="2025-02-03T00:00:00"/>
    <x v="4"/>
    <x v="3"/>
    <n v="11"/>
    <n v="33.130000000000003"/>
    <s v="Store A"/>
    <s v="Retail"/>
    <n v="0.15"/>
    <x v="2"/>
    <n v="309.76549999999997"/>
    <s v="Online"/>
    <s v="FREESHIP"/>
    <n v="0"/>
    <s v="REG100046"/>
    <s v="Cust 6362"/>
    <n v="24.95"/>
    <d v="2025-02-03T00:00:00"/>
    <d v="2025-02-05T00:00:00"/>
    <s v="Wendy"/>
    <x v="3"/>
    <x v="3"/>
  </r>
  <r>
    <d v="2024-01-09T00:00:00"/>
    <x v="0"/>
    <x v="5"/>
    <n v="8"/>
    <n v="582.52"/>
    <s v="Store D"/>
    <s v="Retail"/>
    <n v="0.15"/>
    <x v="2"/>
    <n v="3961.136"/>
    <s v="Gift Card"/>
    <s v="WINTER15"/>
    <n v="0"/>
    <s v="REG100047"/>
    <s v="Cust 4826"/>
    <n v="6.47"/>
    <d v="2024-01-09T00:00:00"/>
    <d v="2024-01-13T00:00:00"/>
    <s v="Eric"/>
    <x v="24"/>
    <x v="4"/>
  </r>
  <r>
    <d v="2024-03-14T00:00:00"/>
    <x v="2"/>
    <x v="2"/>
    <n v="5"/>
    <n v="165.15"/>
    <s v="Store A"/>
    <s v="Retail"/>
    <n v="0.1"/>
    <x v="0"/>
    <n v="743.17500000000007"/>
    <s v="Gift Card"/>
    <m/>
    <n v="0"/>
    <s v="REG100048"/>
    <s v="Cust 2171"/>
    <n v="20.57"/>
    <d v="2024-03-14T00:00:00"/>
    <d v="2024-03-16T00:00:00"/>
    <s v="Ryan"/>
    <x v="25"/>
    <x v="7"/>
  </r>
  <r>
    <d v="2024-09-06T00:00:00"/>
    <x v="4"/>
    <x v="4"/>
    <n v="14"/>
    <n v="242.82"/>
    <s v="Store D"/>
    <s v="Wholesale"/>
    <n v="0.15"/>
    <x v="1"/>
    <n v="2889.558"/>
    <s v="Cash"/>
    <s v="WINTER15"/>
    <n v="1"/>
    <s v="REG100049"/>
    <s v="Cust 4005"/>
    <n v="20.71"/>
    <d v="2024-09-06T00:00:00"/>
    <d v="2024-09-13T00:00:00"/>
    <s v="Wendy"/>
    <x v="26"/>
    <x v="5"/>
  </r>
  <r>
    <d v="2023-03-17T00:00:00"/>
    <x v="0"/>
    <x v="4"/>
    <n v="13"/>
    <n v="65.989999999999995"/>
    <s v="Store A"/>
    <s v="Wholesale"/>
    <n v="0.1"/>
    <x v="2"/>
    <n v="772.08299999999997"/>
    <s v="Cash"/>
    <s v="WINTER15"/>
    <n v="0"/>
    <s v="REG100050"/>
    <s v="Cust 7032"/>
    <n v="12.87"/>
    <d v="2023-03-17T00:00:00"/>
    <d v="2023-03-20T00:00:00"/>
    <s v="Eric"/>
    <x v="17"/>
    <x v="13"/>
  </r>
  <r>
    <d v="2025-01-17T00:00:00"/>
    <x v="4"/>
    <x v="3"/>
    <n v="2"/>
    <n v="251.69"/>
    <s v="Store C"/>
    <s v="Wholesale"/>
    <n v="0"/>
    <x v="1"/>
    <n v="503.38"/>
    <s v="Debit Card"/>
    <s v="FREESHIP"/>
    <n v="0"/>
    <s v="REG100051"/>
    <s v="Cust 7167"/>
    <n v="42.49"/>
    <d v="2025-01-17T00:00:00"/>
    <d v="2025-01-24T00:00:00"/>
    <s v="Wendy"/>
    <x v="12"/>
    <x v="3"/>
  </r>
  <r>
    <d v="2024-09-12T00:00:00"/>
    <x v="1"/>
    <x v="0"/>
    <n v="1"/>
    <n v="269.41000000000003"/>
    <s v="Store B"/>
    <s v="Wholesale"/>
    <n v="0.1"/>
    <x v="0"/>
    <n v="242.46899999999999"/>
    <s v="Cash"/>
    <s v="WINTER15"/>
    <n v="1"/>
    <s v="REG100052"/>
    <s v="Cust 5702"/>
    <n v="19.22"/>
    <d v="2024-09-12T00:00:00"/>
    <d v="2024-09-18T00:00:00"/>
    <s v="Sophie"/>
    <x v="26"/>
    <x v="5"/>
  </r>
  <r>
    <d v="2024-01-05T00:00:00"/>
    <x v="1"/>
    <x v="4"/>
    <n v="2"/>
    <n v="371.3"/>
    <s v="Store B"/>
    <s v="Wholesale"/>
    <n v="0.05"/>
    <x v="5"/>
    <n v="705.47"/>
    <s v="Credit Card"/>
    <s v="SAVE10"/>
    <n v="0"/>
    <s v="REG100053"/>
    <s v="Cust 4944"/>
    <n v="36.51"/>
    <d v="2024-01-05T00:00:00"/>
    <d v="2024-01-15T00:00:00"/>
    <s v="Sophie"/>
    <x v="24"/>
    <x v="4"/>
  </r>
  <r>
    <d v="2024-04-19T00:00:00"/>
    <x v="4"/>
    <x v="5"/>
    <n v="11"/>
    <n v="288.24"/>
    <s v="Store A"/>
    <s v="Wholesale"/>
    <n v="0.15"/>
    <x v="4"/>
    <n v="2695.0439999999999"/>
    <s v="Online"/>
    <m/>
    <n v="0"/>
    <s v="REG100054"/>
    <s v="Cust 8149"/>
    <n v="37.39"/>
    <d v="2024-04-19T00:00:00"/>
    <d v="2024-04-25T00:00:00"/>
    <s v="Wendy"/>
    <x v="9"/>
    <x v="7"/>
  </r>
  <r>
    <d v="2025-06-11T00:00:00"/>
    <x v="3"/>
    <x v="5"/>
    <n v="11"/>
    <n v="232.75"/>
    <s v="Store D"/>
    <s v="Wholesale"/>
    <n v="0.05"/>
    <x v="0"/>
    <n v="2432.2375000000002"/>
    <s v="Credit Card"/>
    <s v="SAVE10"/>
    <n v="0"/>
    <s v="REG100055"/>
    <s v="Cust 3638"/>
    <n v="36.33"/>
    <d v="2025-06-11T00:00:00"/>
    <d v="2025-06-21T00:00:00"/>
    <s v="Cameron"/>
    <x v="16"/>
    <x v="10"/>
  </r>
  <r>
    <d v="2025-03-06T00:00:00"/>
    <x v="0"/>
    <x v="1"/>
    <n v="17"/>
    <n v="146.28"/>
    <s v="Store B"/>
    <s v="Retail"/>
    <n v="0.15"/>
    <x v="3"/>
    <n v="2113.7460000000001"/>
    <s v="Cash"/>
    <s v="SAVE10"/>
    <n v="0"/>
    <s v="REG100056"/>
    <s v="Cust 9973"/>
    <n v="7.84"/>
    <d v="2025-03-06T00:00:00"/>
    <d v="2025-03-15T00:00:00"/>
    <s v="Eric"/>
    <x v="8"/>
    <x v="6"/>
  </r>
  <r>
    <d v="2023-05-24T00:00:00"/>
    <x v="0"/>
    <x v="3"/>
    <n v="5"/>
    <n v="100.38"/>
    <s v="Store C"/>
    <s v="Retail"/>
    <n v="0.1"/>
    <x v="0"/>
    <n v="451.71"/>
    <s v="Gift Card"/>
    <s v="WINTER15"/>
    <n v="1"/>
    <s v="REG100057"/>
    <s v="Cust 4214"/>
    <n v="18.350000000000001"/>
    <d v="2023-05-24T00:00:00"/>
    <d v="2023-05-26T00:00:00"/>
    <s v="Eric"/>
    <x v="2"/>
    <x v="2"/>
  </r>
  <r>
    <d v="2023-01-27T00:00:00"/>
    <x v="1"/>
    <x v="1"/>
    <n v="11"/>
    <n v="375.48"/>
    <s v="Store B"/>
    <s v="Retail"/>
    <n v="0.05"/>
    <x v="5"/>
    <n v="3923.766000000001"/>
    <s v="Debit Card"/>
    <s v="WINTER15"/>
    <n v="0"/>
    <s v="REG100058"/>
    <s v="Cust 2647"/>
    <n v="15.95"/>
    <d v="2023-01-27T00:00:00"/>
    <d v="2023-02-03T00:00:00"/>
    <s v="Sophie"/>
    <x v="6"/>
    <x v="0"/>
  </r>
  <r>
    <d v="2024-03-21T00:00:00"/>
    <x v="1"/>
    <x v="0"/>
    <n v="18"/>
    <n v="316.89"/>
    <s v="Store B"/>
    <s v="Wholesale"/>
    <n v="0.05"/>
    <x v="5"/>
    <n v="5418.8190000000004"/>
    <s v="Cash"/>
    <s v="FREESHIP"/>
    <n v="0"/>
    <s v="REG100059"/>
    <s v="Cust 3552"/>
    <n v="15.69"/>
    <d v="2024-03-21T00:00:00"/>
    <d v="2024-03-27T00:00:00"/>
    <s v="Sophie"/>
    <x v="25"/>
    <x v="7"/>
  </r>
  <r>
    <d v="2025-01-25T00:00:00"/>
    <x v="4"/>
    <x v="0"/>
    <n v="20"/>
    <n v="295.06"/>
    <s v="Store D"/>
    <s v="Retail"/>
    <n v="0.15"/>
    <x v="2"/>
    <n v="5016.0200000000004"/>
    <s v="Online"/>
    <s v="SAVE10"/>
    <n v="1"/>
    <s v="REG100060"/>
    <s v="Cust 3354"/>
    <n v="13.66"/>
    <d v="2025-01-25T00:00:00"/>
    <d v="2025-01-31T00:00:00"/>
    <s v="Wendy"/>
    <x v="12"/>
    <x v="3"/>
  </r>
  <r>
    <d v="2023-06-12T00:00:00"/>
    <x v="3"/>
    <x v="1"/>
    <n v="8"/>
    <n v="301.68"/>
    <s v="Store D"/>
    <s v="Retail"/>
    <n v="0"/>
    <x v="0"/>
    <n v="2413.44"/>
    <s v="Cash"/>
    <s v="SAVE10"/>
    <n v="0"/>
    <s v="REG100061"/>
    <s v="Cust 3903"/>
    <n v="36.54"/>
    <d v="2023-06-12T00:00:00"/>
    <d v="2023-06-21T00:00:00"/>
    <s v="Cameron"/>
    <x v="4"/>
    <x v="2"/>
  </r>
  <r>
    <d v="2025-03-22T00:00:00"/>
    <x v="3"/>
    <x v="3"/>
    <n v="3"/>
    <n v="475.39"/>
    <s v="Store B"/>
    <s v="Retail"/>
    <n v="0.1"/>
    <x v="1"/>
    <n v="1283.5530000000001"/>
    <s v="Gift Card"/>
    <m/>
    <n v="0"/>
    <s v="REG100062"/>
    <s v="Cust 5358"/>
    <n v="15.62"/>
    <d v="2025-03-22T00:00:00"/>
    <d v="2025-03-26T00:00:00"/>
    <s v="Cameron"/>
    <x v="8"/>
    <x v="6"/>
  </r>
  <r>
    <d v="2024-02-24T00:00:00"/>
    <x v="3"/>
    <x v="2"/>
    <n v="16"/>
    <n v="47.25"/>
    <s v="Store D"/>
    <s v="Retail"/>
    <n v="0.15"/>
    <x v="5"/>
    <n v="642.6"/>
    <s v="Debit Card"/>
    <s v="FREESHIP"/>
    <n v="0"/>
    <s v="REG100063"/>
    <s v="Cust 8144"/>
    <n v="29.5"/>
    <d v="2024-02-24T00:00:00"/>
    <d v="2024-02-27T00:00:00"/>
    <s v="Cameron"/>
    <x v="5"/>
    <x v="4"/>
  </r>
  <r>
    <d v="2023-12-09T00:00:00"/>
    <x v="1"/>
    <x v="3"/>
    <n v="15"/>
    <n v="511.17"/>
    <s v="Store B"/>
    <s v="Wholesale"/>
    <n v="0"/>
    <x v="2"/>
    <n v="7667.55"/>
    <s v="Online"/>
    <s v="FREESHIP"/>
    <n v="0"/>
    <s v="REG100064"/>
    <s v="Cust 6747"/>
    <n v="21.77"/>
    <d v="2023-12-09T00:00:00"/>
    <d v="2023-12-12T00:00:00"/>
    <s v="Sophie"/>
    <x v="27"/>
    <x v="12"/>
  </r>
  <r>
    <d v="2023-10-01T00:00:00"/>
    <x v="3"/>
    <x v="4"/>
    <n v="3"/>
    <n v="66.58"/>
    <s v="Store B"/>
    <s v="Retail"/>
    <n v="0.1"/>
    <x v="2"/>
    <n v="179.76599999999999"/>
    <s v="Debit Card"/>
    <s v="FREESHIP"/>
    <n v="0"/>
    <s v="REG100065"/>
    <s v="Cust 8330"/>
    <n v="22.43"/>
    <d v="2023-10-01T00:00:00"/>
    <d v="2023-10-05T00:00:00"/>
    <s v="Cameron"/>
    <x v="19"/>
    <x v="14"/>
  </r>
  <r>
    <d v="2023-07-31T00:00:00"/>
    <x v="4"/>
    <x v="5"/>
    <n v="5"/>
    <n v="490.52"/>
    <s v="Store D"/>
    <s v="Wholesale"/>
    <n v="0.05"/>
    <x v="2"/>
    <n v="2329.9699999999998"/>
    <s v="Online"/>
    <m/>
    <n v="0"/>
    <s v="REG100066"/>
    <s v="Cust 7186"/>
    <n v="12.24"/>
    <d v="2023-07-31T00:00:00"/>
    <d v="2023-08-07T00:00:00"/>
    <s v="Wendy"/>
    <x v="11"/>
    <x v="9"/>
  </r>
  <r>
    <d v="2024-12-24T00:00:00"/>
    <x v="1"/>
    <x v="3"/>
    <n v="8"/>
    <n v="405.96"/>
    <s v="Store A"/>
    <s v="Wholesale"/>
    <n v="0.05"/>
    <x v="3"/>
    <n v="3085.2959999999998"/>
    <s v="Credit Card"/>
    <s v="WINTER15"/>
    <n v="0"/>
    <s v="REG100067"/>
    <s v="Cust 8287"/>
    <n v="41.27"/>
    <d v="2024-12-24T00:00:00"/>
    <d v="2024-12-31T00:00:00"/>
    <s v="Sophie"/>
    <x v="1"/>
    <x v="1"/>
  </r>
  <r>
    <d v="2024-11-15T00:00:00"/>
    <x v="2"/>
    <x v="1"/>
    <n v="1"/>
    <n v="159.41"/>
    <s v="Store B"/>
    <s v="Retail"/>
    <n v="0.1"/>
    <x v="5"/>
    <n v="143.46899999999999"/>
    <s v="Credit Card"/>
    <s v="FREESHIP"/>
    <n v="0"/>
    <s v="REG100068"/>
    <s v="Cust 3986"/>
    <n v="35.14"/>
    <d v="2024-11-15T00:00:00"/>
    <d v="2024-11-19T00:00:00"/>
    <s v="Ryan"/>
    <x v="20"/>
    <x v="1"/>
  </r>
  <r>
    <d v="2025-03-13T00:00:00"/>
    <x v="4"/>
    <x v="4"/>
    <n v="16"/>
    <n v="38.49"/>
    <s v="Store C"/>
    <s v="Retail"/>
    <n v="0.15"/>
    <x v="3"/>
    <n v="523.46400000000006"/>
    <s v="Debit Card"/>
    <s v="SAVE10"/>
    <n v="0"/>
    <s v="REG100069"/>
    <s v="Cust 3213"/>
    <n v="8.3800000000000008"/>
    <d v="2025-03-13T00:00:00"/>
    <d v="2025-03-22T00:00:00"/>
    <s v="Wendy"/>
    <x v="8"/>
    <x v="6"/>
  </r>
  <r>
    <d v="2024-03-03T00:00:00"/>
    <x v="0"/>
    <x v="5"/>
    <n v="15"/>
    <n v="328.36"/>
    <s v="Store D"/>
    <s v="Retail"/>
    <n v="0.15"/>
    <x v="1"/>
    <n v="4186.59"/>
    <s v="Gift Card"/>
    <s v="WINTER15"/>
    <n v="0"/>
    <s v="REG100070"/>
    <s v="Cust 1907"/>
    <n v="15.76"/>
    <d v="2024-03-03T00:00:00"/>
    <d v="2024-03-12T00:00:00"/>
    <s v="Eric"/>
    <x v="25"/>
    <x v="4"/>
  </r>
  <r>
    <d v="2023-02-11T00:00:00"/>
    <x v="3"/>
    <x v="5"/>
    <n v="20"/>
    <n v="548.01"/>
    <s v="Store A"/>
    <s v="Wholesale"/>
    <n v="0.1"/>
    <x v="0"/>
    <n v="9864.18"/>
    <s v="Credit Card"/>
    <s v="WINTER15"/>
    <n v="1"/>
    <s v="REG100071"/>
    <s v="Cust 4639"/>
    <n v="5.89"/>
    <d v="2023-02-11T00:00:00"/>
    <d v="2023-02-14T00:00:00"/>
    <s v="Cameron"/>
    <x v="0"/>
    <x v="0"/>
  </r>
  <r>
    <d v="2023-10-26T00:00:00"/>
    <x v="1"/>
    <x v="2"/>
    <n v="13"/>
    <n v="484.45"/>
    <s v="Store B"/>
    <s v="Wholesale"/>
    <n v="0.05"/>
    <x v="3"/>
    <n v="5982.9575000000004"/>
    <s v="Gift Card"/>
    <s v="WINTER15"/>
    <n v="1"/>
    <s v="REG100072"/>
    <s v="Cust 4153"/>
    <n v="6.57"/>
    <d v="2023-10-26T00:00:00"/>
    <d v="2023-11-05T00:00:00"/>
    <s v="Sophie"/>
    <x v="19"/>
    <x v="14"/>
  </r>
  <r>
    <d v="2023-10-21T00:00:00"/>
    <x v="1"/>
    <x v="4"/>
    <n v="13"/>
    <n v="195.84"/>
    <s v="Store A"/>
    <s v="Wholesale"/>
    <n v="0.05"/>
    <x v="1"/>
    <n v="2418.6239999999998"/>
    <s v="Credit Card"/>
    <m/>
    <n v="0"/>
    <s v="REG100073"/>
    <s v="Cust 7096"/>
    <n v="33.520000000000003"/>
    <d v="2023-10-21T00:00:00"/>
    <d v="2023-10-28T00:00:00"/>
    <s v="Sophie"/>
    <x v="19"/>
    <x v="14"/>
  </r>
  <r>
    <d v="2024-01-14T00:00:00"/>
    <x v="3"/>
    <x v="5"/>
    <n v="19"/>
    <n v="29.94"/>
    <s v="Store D"/>
    <s v="Retail"/>
    <n v="0.15"/>
    <x v="4"/>
    <n v="483.53100000000001"/>
    <s v="Debit Card"/>
    <s v="FREESHIP"/>
    <n v="0"/>
    <s v="REG100074"/>
    <s v="Cust 3806"/>
    <n v="33.590000000000003"/>
    <d v="2024-01-14T00:00:00"/>
    <d v="2024-01-20T00:00:00"/>
    <s v="Cameron"/>
    <x v="24"/>
    <x v="4"/>
  </r>
  <r>
    <d v="2023-07-27T00:00:00"/>
    <x v="3"/>
    <x v="2"/>
    <n v="10"/>
    <n v="553.91"/>
    <s v="Store D"/>
    <s v="Wholesale"/>
    <n v="0.1"/>
    <x v="0"/>
    <n v="4985.1899999999996"/>
    <s v="Online"/>
    <m/>
    <n v="0"/>
    <s v="REG100075"/>
    <s v="Cust 9345"/>
    <n v="31.3"/>
    <d v="2023-07-27T00:00:00"/>
    <d v="2023-07-31T00:00:00"/>
    <s v="Cameron"/>
    <x v="11"/>
    <x v="9"/>
  </r>
  <r>
    <d v="2024-10-23T00:00:00"/>
    <x v="1"/>
    <x v="1"/>
    <n v="14"/>
    <n v="445.52"/>
    <s v="Store B"/>
    <s v="Retail"/>
    <n v="0.1"/>
    <x v="5"/>
    <n v="5613.5519999999997"/>
    <s v="Online"/>
    <s v="SAVE10"/>
    <n v="0"/>
    <s v="REG100076"/>
    <s v="Cust 4456"/>
    <n v="14.41"/>
    <d v="2024-10-23T00:00:00"/>
    <d v="2024-10-25T00:00:00"/>
    <s v="Sophie"/>
    <x v="7"/>
    <x v="5"/>
  </r>
  <r>
    <d v="2023-09-26T00:00:00"/>
    <x v="1"/>
    <x v="3"/>
    <n v="5"/>
    <n v="551.58000000000004"/>
    <s v="Store B"/>
    <s v="Retail"/>
    <n v="0.15"/>
    <x v="1"/>
    <n v="2344.2150000000001"/>
    <s v="Online"/>
    <s v="WINTER15"/>
    <n v="1"/>
    <s v="REG100077"/>
    <s v="Cust 1089"/>
    <n v="7.87"/>
    <d v="2023-09-26T00:00:00"/>
    <d v="2023-10-01T00:00:00"/>
    <s v="Sophie"/>
    <x v="22"/>
    <x v="14"/>
  </r>
  <r>
    <d v="2023-12-16T00:00:00"/>
    <x v="0"/>
    <x v="1"/>
    <n v="13"/>
    <n v="241.4"/>
    <s v="Store D"/>
    <s v="Retail"/>
    <n v="0"/>
    <x v="3"/>
    <n v="3138.2"/>
    <s v="Gift Card"/>
    <s v="SAVE10"/>
    <n v="0"/>
    <s v="REG100078"/>
    <s v="Cust 7230"/>
    <n v="49.05"/>
    <d v="2023-12-16T00:00:00"/>
    <d v="2023-12-20T00:00:00"/>
    <s v="Eric"/>
    <x v="27"/>
    <x v="12"/>
  </r>
  <r>
    <d v="2024-01-02T00:00:00"/>
    <x v="3"/>
    <x v="6"/>
    <n v="19"/>
    <n v="351.93"/>
    <s v="Store A"/>
    <s v="Wholesale"/>
    <n v="0"/>
    <x v="1"/>
    <n v="6686.67"/>
    <s v="Credit Card"/>
    <m/>
    <n v="0"/>
    <s v="REG100079"/>
    <s v="Cust 6597"/>
    <n v="39.979999999999997"/>
    <d v="2024-01-02T00:00:00"/>
    <d v="2024-01-05T00:00:00"/>
    <s v="Cameron"/>
    <x v="24"/>
    <x v="15"/>
  </r>
  <r>
    <d v="2024-02-16T00:00:00"/>
    <x v="2"/>
    <x v="1"/>
    <n v="4"/>
    <n v="83.75"/>
    <s v="Store A"/>
    <s v="Retail"/>
    <n v="0.05"/>
    <x v="1"/>
    <n v="318.25"/>
    <s v="Debit Card"/>
    <s v="SAVE10"/>
    <n v="1"/>
    <s v="REG100080"/>
    <s v="Cust 4108"/>
    <n v="38.82"/>
    <d v="2024-02-16T00:00:00"/>
    <d v="2024-02-25T00:00:00"/>
    <s v="Ryan"/>
    <x v="5"/>
    <x v="4"/>
  </r>
  <r>
    <d v="2024-05-03T00:00:00"/>
    <x v="0"/>
    <x v="4"/>
    <n v="5"/>
    <n v="416.95"/>
    <s v="Store A"/>
    <s v="Wholesale"/>
    <n v="0.15"/>
    <x v="2"/>
    <n v="1772.0374999999999"/>
    <s v="Online"/>
    <m/>
    <n v="1"/>
    <s v="REG100081"/>
    <s v="Cust 2883"/>
    <n v="24.03"/>
    <d v="2024-05-03T00:00:00"/>
    <d v="2024-05-12T00:00:00"/>
    <s v="Eric"/>
    <x v="14"/>
    <x v="11"/>
  </r>
  <r>
    <d v="2023-05-27T00:00:00"/>
    <x v="4"/>
    <x v="4"/>
    <n v="18"/>
    <n v="142.43"/>
    <s v="Store C"/>
    <s v="Retail"/>
    <n v="0.05"/>
    <x v="5"/>
    <n v="2435.5529999999999"/>
    <s v="Credit Card"/>
    <s v="SAVE10"/>
    <n v="1"/>
    <s v="REG100082"/>
    <s v="Cust 5018"/>
    <n v="12.38"/>
    <d v="2023-05-27T00:00:00"/>
    <d v="2023-06-02T00:00:00"/>
    <s v="Wendy"/>
    <x v="2"/>
    <x v="2"/>
  </r>
  <r>
    <d v="2023-01-05T00:00:00"/>
    <x v="0"/>
    <x v="2"/>
    <n v="12"/>
    <n v="582.52"/>
    <s v="Store A"/>
    <s v="Wholesale"/>
    <n v="0"/>
    <x v="5"/>
    <n v="6990.24"/>
    <s v="Credit Card"/>
    <s v="FREESHIP"/>
    <n v="0"/>
    <s v="REG100083"/>
    <s v="Cust 1231"/>
    <n v="41.16"/>
    <d v="2023-01-05T00:00:00"/>
    <d v="2023-01-11T00:00:00"/>
    <s v="Eric"/>
    <x v="6"/>
    <x v="0"/>
  </r>
  <r>
    <d v="2025-05-21T00:00:00"/>
    <x v="0"/>
    <x v="3"/>
    <n v="20"/>
    <n v="129.56"/>
    <s v="Store A"/>
    <s v="Retail"/>
    <n v="0.15"/>
    <x v="4"/>
    <n v="2202.52"/>
    <s v="Online"/>
    <s v="WINTER15"/>
    <n v="0"/>
    <s v="REG100084"/>
    <s v="Cust 2209"/>
    <n v="40.21"/>
    <d v="2025-05-21T00:00:00"/>
    <d v="2025-05-23T00:00:00"/>
    <s v="Eric"/>
    <x v="13"/>
    <x v="10"/>
  </r>
  <r>
    <d v="2023-07-21T00:00:00"/>
    <x v="3"/>
    <x v="5"/>
    <n v="17"/>
    <n v="431.82"/>
    <s v="Store B"/>
    <s v="Retail"/>
    <n v="0"/>
    <x v="0"/>
    <n v="7340.94"/>
    <s v="Gift Card"/>
    <s v="FREESHIP"/>
    <n v="1"/>
    <s v="REG100085"/>
    <s v="Cust 6684"/>
    <n v="37.75"/>
    <d v="2023-07-21T00:00:00"/>
    <d v="2023-07-25T00:00:00"/>
    <s v="Cameron"/>
    <x v="11"/>
    <x v="9"/>
  </r>
  <r>
    <d v="2025-05-25T00:00:00"/>
    <x v="0"/>
    <x v="0"/>
    <n v="15"/>
    <n v="15.85"/>
    <s v="Store C"/>
    <s v="Retail"/>
    <n v="0"/>
    <x v="5"/>
    <n v="237.75"/>
    <s v="Debit Card"/>
    <s v="WINTER15"/>
    <n v="0"/>
    <s v="REG100086"/>
    <s v="Cust 5289"/>
    <n v="23.49"/>
    <d v="2025-05-25T00:00:00"/>
    <d v="2025-06-03T00:00:00"/>
    <s v="Eric"/>
    <x v="13"/>
    <x v="10"/>
  </r>
  <r>
    <d v="2024-11-16T00:00:00"/>
    <x v="1"/>
    <x v="5"/>
    <n v="20"/>
    <n v="548.34"/>
    <s v="Store B"/>
    <s v="Retail"/>
    <n v="0.1"/>
    <x v="5"/>
    <n v="9870.1200000000008"/>
    <s v="Gift Card"/>
    <s v="WINTER15"/>
    <n v="0"/>
    <s v="REG100087"/>
    <s v="Cust 9159"/>
    <n v="33.47"/>
    <d v="2024-11-16T00:00:00"/>
    <d v="2024-11-22T00:00:00"/>
    <s v="Sophie"/>
    <x v="20"/>
    <x v="1"/>
  </r>
  <r>
    <d v="2023-11-19T00:00:00"/>
    <x v="2"/>
    <x v="0"/>
    <n v="16"/>
    <n v="525.83000000000004"/>
    <s v="Store C"/>
    <s v="Wholesale"/>
    <n v="0.05"/>
    <x v="2"/>
    <n v="7992.616"/>
    <s v="Online"/>
    <m/>
    <n v="0"/>
    <s v="REG100088"/>
    <s v="Cust 4844"/>
    <n v="36.47"/>
    <d v="2023-11-19T00:00:00"/>
    <d v="2023-11-25T00:00:00"/>
    <s v="Ryan"/>
    <x v="15"/>
    <x v="12"/>
  </r>
  <r>
    <d v="2025-01-12T00:00:00"/>
    <x v="3"/>
    <x v="0"/>
    <n v="15"/>
    <n v="411.38"/>
    <s v="Store A"/>
    <s v="Wholesale"/>
    <n v="0.05"/>
    <x v="5"/>
    <n v="5862.165"/>
    <s v="Online"/>
    <s v="SAVE10"/>
    <n v="0"/>
    <s v="REG100089"/>
    <s v="Cust 3273"/>
    <n v="48.51"/>
    <d v="2025-01-12T00:00:00"/>
    <d v="2025-01-21T00:00:00"/>
    <s v="Cameron"/>
    <x v="12"/>
    <x v="3"/>
  </r>
  <r>
    <d v="2023-03-29T00:00:00"/>
    <x v="2"/>
    <x v="4"/>
    <n v="19"/>
    <n v="559.95000000000005"/>
    <s v="Store A"/>
    <s v="Wholesale"/>
    <n v="0.1"/>
    <x v="3"/>
    <n v="9575.1450000000004"/>
    <s v="Credit Card"/>
    <s v="WINTER15"/>
    <n v="0"/>
    <s v="REG100090"/>
    <s v="Cust 8160"/>
    <n v="18.3"/>
    <d v="2023-03-29T00:00:00"/>
    <d v="2023-04-03T00:00:00"/>
    <s v="Ryan"/>
    <x v="17"/>
    <x v="13"/>
  </r>
  <r>
    <d v="2025-03-01T00:00:00"/>
    <x v="2"/>
    <x v="2"/>
    <n v="8"/>
    <n v="179.9"/>
    <s v="Store C"/>
    <s v="Retail"/>
    <n v="0.05"/>
    <x v="3"/>
    <n v="1367.24"/>
    <s v="Online"/>
    <s v="SAVE10"/>
    <n v="0"/>
    <s v="REG100091"/>
    <s v="Cust 4439"/>
    <n v="14.8"/>
    <d v="2025-03-01T00:00:00"/>
    <d v="2025-03-05T00:00:00"/>
    <s v="Ryan"/>
    <x v="8"/>
    <x v="3"/>
  </r>
  <r>
    <d v="2023-10-18T00:00:00"/>
    <x v="2"/>
    <x v="3"/>
    <n v="12"/>
    <n v="494.15"/>
    <s v="Store B"/>
    <s v="Wholesale"/>
    <n v="0.15"/>
    <x v="4"/>
    <n v="5040.329999999999"/>
    <s v="Online"/>
    <s v="SAVE10"/>
    <n v="1"/>
    <s v="REG100092"/>
    <s v="Cust 1127"/>
    <n v="18.05"/>
    <d v="2023-10-18T00:00:00"/>
    <d v="2023-10-20T00:00:00"/>
    <s v="Ryan"/>
    <x v="19"/>
    <x v="14"/>
  </r>
  <r>
    <d v="2025-04-13T00:00:00"/>
    <x v="0"/>
    <x v="2"/>
    <n v="10"/>
    <n v="462.99"/>
    <s v="Store C"/>
    <s v="Wholesale"/>
    <n v="0"/>
    <x v="5"/>
    <n v="4629.8999999999996"/>
    <s v="Credit Card"/>
    <s v="WINTER15"/>
    <n v="0"/>
    <s v="REG100093"/>
    <s v="Cust 4696"/>
    <n v="5.01"/>
    <d v="2025-04-13T00:00:00"/>
    <d v="2025-04-15T00:00:00"/>
    <s v="Eric"/>
    <x v="28"/>
    <x v="6"/>
  </r>
  <r>
    <d v="2025-05-13T00:00:00"/>
    <x v="3"/>
    <x v="0"/>
    <n v="7"/>
    <n v="460.24"/>
    <s v="Store A"/>
    <s v="Retail"/>
    <n v="0.05"/>
    <x v="1"/>
    <n v="3060.596"/>
    <s v="Cash"/>
    <s v="SAVE10"/>
    <n v="1"/>
    <s v="REG100094"/>
    <s v="Cust 3014"/>
    <n v="11.54"/>
    <d v="2025-05-13T00:00:00"/>
    <d v="2025-05-23T00:00:00"/>
    <s v="Cameron"/>
    <x v="13"/>
    <x v="10"/>
  </r>
  <r>
    <d v="2024-04-21T00:00:00"/>
    <x v="4"/>
    <x v="6"/>
    <n v="17"/>
    <n v="309.52"/>
    <s v="Store B"/>
    <s v="Wholesale"/>
    <n v="0.05"/>
    <x v="0"/>
    <n v="4998.7479999999996"/>
    <s v="Online"/>
    <s v="FREESHIP"/>
    <n v="0"/>
    <s v="REG100095"/>
    <s v="Cust 2539"/>
    <n v="6.11"/>
    <d v="2024-04-21T00:00:00"/>
    <d v="2024-04-27T00:00:00"/>
    <s v="Wendy"/>
    <x v="9"/>
    <x v="7"/>
  </r>
  <r>
    <d v="2025-01-31T00:00:00"/>
    <x v="3"/>
    <x v="4"/>
    <n v="1"/>
    <n v="323.83"/>
    <s v="Store B"/>
    <s v="Wholesale"/>
    <n v="0.05"/>
    <x v="0"/>
    <n v="307.63850000000002"/>
    <s v="Credit Card"/>
    <s v="WINTER15"/>
    <n v="0"/>
    <s v="REG100096"/>
    <s v="Cust 3916"/>
    <n v="27.48"/>
    <d v="2025-01-31T00:00:00"/>
    <d v="2025-02-08T00:00:00"/>
    <s v="Cameron"/>
    <x v="12"/>
    <x v="3"/>
  </r>
  <r>
    <d v="2025-03-14T00:00:00"/>
    <x v="3"/>
    <x v="3"/>
    <n v="10"/>
    <n v="503.07"/>
    <s v="Store C"/>
    <s v="Retail"/>
    <n v="0"/>
    <x v="5"/>
    <n v="5030.7"/>
    <s v="Credit Card"/>
    <s v="FREESHIP"/>
    <n v="0"/>
    <s v="REG100097"/>
    <s v="Cust 6329"/>
    <n v="44.61"/>
    <d v="2025-03-14T00:00:00"/>
    <d v="2025-03-19T00:00:00"/>
    <s v="Cameron"/>
    <x v="8"/>
    <x v="6"/>
  </r>
  <r>
    <d v="2024-05-26T00:00:00"/>
    <x v="4"/>
    <x v="0"/>
    <n v="20"/>
    <n v="491.68"/>
    <s v="Store D"/>
    <s v="Wholesale"/>
    <n v="0.15"/>
    <x v="1"/>
    <n v="8358.56"/>
    <s v="Online"/>
    <s v="SAVE10"/>
    <n v="1"/>
    <s v="REG100098"/>
    <s v="Cust 4384"/>
    <n v="43.46"/>
    <d v="2024-05-26T00:00:00"/>
    <d v="2024-05-29T00:00:00"/>
    <s v="Wendy"/>
    <x v="14"/>
    <x v="11"/>
  </r>
  <r>
    <d v="2023-07-22T00:00:00"/>
    <x v="2"/>
    <x v="1"/>
    <n v="17"/>
    <n v="468.45"/>
    <s v="Store A"/>
    <s v="Retail"/>
    <n v="0.05"/>
    <x v="3"/>
    <n v="7565.4674999999997"/>
    <s v="Credit Card"/>
    <s v="FREESHIP"/>
    <n v="0"/>
    <s v="REG100099"/>
    <s v="Cust 7756"/>
    <n v="17.88"/>
    <d v="2023-07-22T00:00:00"/>
    <d v="2023-07-26T00:00:00"/>
    <s v="Ryan"/>
    <x v="11"/>
    <x v="9"/>
  </r>
  <r>
    <d v="2024-03-21T00:00:00"/>
    <x v="2"/>
    <x v="0"/>
    <n v="11"/>
    <n v="401.76"/>
    <s v="Store D"/>
    <s v="Retail"/>
    <n v="0.15"/>
    <x v="2"/>
    <n v="3756.4560000000001"/>
    <s v="Gift Card"/>
    <s v="SAVE10"/>
    <n v="0"/>
    <s v="REG100100"/>
    <s v="Cust 6086"/>
    <n v="48.03"/>
    <d v="2024-03-21T00:00:00"/>
    <d v="2024-03-30T00:00:00"/>
    <s v="Ryan"/>
    <x v="25"/>
    <x v="7"/>
  </r>
  <r>
    <d v="2023-04-05T00:00:00"/>
    <x v="4"/>
    <x v="6"/>
    <n v="3"/>
    <n v="221"/>
    <s v="Store B"/>
    <s v="Wholesale"/>
    <n v="0"/>
    <x v="2"/>
    <n v="663"/>
    <s v="Cash"/>
    <s v="FREESHIP"/>
    <n v="0"/>
    <s v="REG100101"/>
    <s v="Cust 3845"/>
    <n v="32.31"/>
    <d v="2023-04-05T00:00:00"/>
    <d v="2023-04-08T00:00:00"/>
    <s v="Wendy"/>
    <x v="21"/>
    <x v="13"/>
  </r>
  <r>
    <d v="2024-08-26T00:00:00"/>
    <x v="0"/>
    <x v="4"/>
    <n v="6"/>
    <n v="188.45"/>
    <s v="Store C"/>
    <s v="Wholesale"/>
    <n v="0.05"/>
    <x v="1"/>
    <n v="1074.165"/>
    <s v="Gift Card"/>
    <m/>
    <n v="0"/>
    <s v="REG100102"/>
    <s v="Cust 9996"/>
    <n v="6.77"/>
    <d v="2024-08-26T00:00:00"/>
    <d v="2024-09-01T00:00:00"/>
    <s v="Eric"/>
    <x v="29"/>
    <x v="8"/>
  </r>
  <r>
    <d v="2024-07-07T00:00:00"/>
    <x v="2"/>
    <x v="2"/>
    <n v="3"/>
    <n v="566.20000000000005"/>
    <s v="Store D"/>
    <s v="Retail"/>
    <n v="0"/>
    <x v="5"/>
    <n v="1698.6"/>
    <s v="Gift Card"/>
    <s v="FREESHIP"/>
    <n v="1"/>
    <s v="REG100103"/>
    <s v="Cust 1711"/>
    <n v="28.97"/>
    <d v="2024-07-07T00:00:00"/>
    <d v="2024-07-17T00:00:00"/>
    <s v="Ryan"/>
    <x v="10"/>
    <x v="8"/>
  </r>
  <r>
    <d v="2023-09-29T00:00:00"/>
    <x v="0"/>
    <x v="4"/>
    <n v="14"/>
    <n v="167.09"/>
    <s v="Store D"/>
    <s v="Retail"/>
    <n v="0.05"/>
    <x v="1"/>
    <n v="2222.297"/>
    <s v="Gift Card"/>
    <s v="SAVE10"/>
    <n v="1"/>
    <s v="REG100104"/>
    <s v="Cust 4522"/>
    <n v="47.05"/>
    <d v="2023-09-29T00:00:00"/>
    <d v="2023-10-08T00:00:00"/>
    <s v="Eric"/>
    <x v="22"/>
    <x v="14"/>
  </r>
  <r>
    <d v="2023-10-04T00:00:00"/>
    <x v="4"/>
    <x v="4"/>
    <n v="16"/>
    <n v="36.159999999999997"/>
    <s v="Store C"/>
    <s v="Wholesale"/>
    <n v="0.1"/>
    <x v="3"/>
    <n v="520.70399999999995"/>
    <s v="Debit Card"/>
    <s v="FREESHIP"/>
    <n v="0"/>
    <s v="REG100105"/>
    <s v="Cust 4233"/>
    <n v="26.64"/>
    <d v="2023-10-04T00:00:00"/>
    <d v="2023-10-11T00:00:00"/>
    <s v="Wendy"/>
    <x v="19"/>
    <x v="14"/>
  </r>
  <r>
    <d v="2025-06-09T00:00:00"/>
    <x v="3"/>
    <x v="6"/>
    <n v="2"/>
    <n v="73.94"/>
    <s v="Store B"/>
    <s v="Wholesale"/>
    <n v="0.05"/>
    <x v="3"/>
    <n v="140.48599999999999"/>
    <s v="Debit Card"/>
    <s v="SAVE10"/>
    <n v="0"/>
    <s v="REG100106"/>
    <s v="Cust 4121"/>
    <n v="28.05"/>
    <d v="2025-06-09T00:00:00"/>
    <d v="2025-06-16T00:00:00"/>
    <s v="Cameron"/>
    <x v="16"/>
    <x v="10"/>
  </r>
  <r>
    <d v="2025-06-12T00:00:00"/>
    <x v="0"/>
    <x v="6"/>
    <n v="16"/>
    <n v="459.49"/>
    <s v="Store A"/>
    <s v="Wholesale"/>
    <n v="0.1"/>
    <x v="0"/>
    <n v="6616.6559999999999"/>
    <s v="Online"/>
    <s v="SAVE10"/>
    <n v="0"/>
    <s v="REG100107"/>
    <s v="Cust 9092"/>
    <n v="26.99"/>
    <d v="2025-06-12T00:00:00"/>
    <d v="2025-06-14T00:00:00"/>
    <s v="Eric"/>
    <x v="16"/>
    <x v="10"/>
  </r>
  <r>
    <d v="2024-06-29T00:00:00"/>
    <x v="0"/>
    <x v="3"/>
    <n v="3"/>
    <n v="168.05"/>
    <s v="Store A"/>
    <s v="Retail"/>
    <n v="0"/>
    <x v="3"/>
    <n v="504.15"/>
    <s v="Cash"/>
    <m/>
    <n v="1"/>
    <s v="REG100108"/>
    <s v="Cust 9090"/>
    <n v="21.08"/>
    <d v="2024-06-29T00:00:00"/>
    <d v="2024-07-06T00:00:00"/>
    <s v="Eric"/>
    <x v="23"/>
    <x v="11"/>
  </r>
  <r>
    <d v="2024-03-23T00:00:00"/>
    <x v="2"/>
    <x v="6"/>
    <n v="14"/>
    <n v="37.54"/>
    <s v="Store B"/>
    <s v="Retail"/>
    <n v="0.15"/>
    <x v="1"/>
    <n v="446.72599999999989"/>
    <s v="Credit Card"/>
    <m/>
    <n v="1"/>
    <s v="REG100109"/>
    <s v="Cust 1983"/>
    <n v="49.6"/>
    <d v="2024-03-23T00:00:00"/>
    <d v="2024-04-02T00:00:00"/>
    <s v="Ryan"/>
    <x v="25"/>
    <x v="7"/>
  </r>
  <r>
    <d v="2024-07-14T00:00:00"/>
    <x v="1"/>
    <x v="5"/>
    <n v="4"/>
    <n v="151.16"/>
    <s v="Store B"/>
    <s v="Wholesale"/>
    <n v="0"/>
    <x v="1"/>
    <n v="604.64"/>
    <s v="Gift Card"/>
    <s v="SAVE10"/>
    <n v="1"/>
    <s v="REG100110"/>
    <s v="Cust 8834"/>
    <n v="41.4"/>
    <d v="2024-07-14T00:00:00"/>
    <d v="2024-07-21T00:00:00"/>
    <s v="Sophie"/>
    <x v="10"/>
    <x v="8"/>
  </r>
  <r>
    <d v="2024-03-15T00:00:00"/>
    <x v="1"/>
    <x v="5"/>
    <n v="17"/>
    <n v="78.58"/>
    <s v="Store A"/>
    <s v="Wholesale"/>
    <n v="0.1"/>
    <x v="5"/>
    <n v="1202.2739999999999"/>
    <s v="Gift Card"/>
    <s v="WINTER15"/>
    <n v="0"/>
    <s v="REG100111"/>
    <s v="Cust 9780"/>
    <n v="8.02"/>
    <d v="2024-03-15T00:00:00"/>
    <d v="2024-03-25T00:00:00"/>
    <s v="Sophie"/>
    <x v="25"/>
    <x v="7"/>
  </r>
  <r>
    <d v="2025-04-19T00:00:00"/>
    <x v="3"/>
    <x v="3"/>
    <n v="15"/>
    <n v="37.33"/>
    <s v="Store B"/>
    <s v="Retail"/>
    <n v="0.05"/>
    <x v="3"/>
    <n v="531.95249999999987"/>
    <s v="Cash"/>
    <m/>
    <n v="1"/>
    <s v="REG100112"/>
    <s v="Cust 1293"/>
    <n v="43.69"/>
    <d v="2025-04-19T00:00:00"/>
    <d v="2025-04-24T00:00:00"/>
    <s v="Cameron"/>
    <x v="28"/>
    <x v="6"/>
  </r>
  <r>
    <d v="2024-02-15T00:00:00"/>
    <x v="4"/>
    <x v="5"/>
    <n v="18"/>
    <n v="537.02"/>
    <s v="Store A"/>
    <s v="Wholesale"/>
    <n v="0.15"/>
    <x v="3"/>
    <n v="8216.4060000000009"/>
    <s v="Debit Card"/>
    <s v="SAVE10"/>
    <n v="0"/>
    <s v="REG100113"/>
    <s v="Cust 3173"/>
    <n v="23.94"/>
    <d v="2024-02-15T00:00:00"/>
    <d v="2024-02-20T00:00:00"/>
    <s v="Wendy"/>
    <x v="5"/>
    <x v="4"/>
  </r>
  <r>
    <d v="2024-01-25T00:00:00"/>
    <x v="0"/>
    <x v="2"/>
    <n v="5"/>
    <n v="215.6"/>
    <s v="Store C"/>
    <s v="Wholesale"/>
    <n v="0"/>
    <x v="2"/>
    <n v="1078"/>
    <s v="Online"/>
    <s v="WINTER15"/>
    <n v="0"/>
    <s v="REG100114"/>
    <s v="Cust 8641"/>
    <n v="28.36"/>
    <d v="2024-01-25T00:00:00"/>
    <d v="2024-02-04T00:00:00"/>
    <s v="Eric"/>
    <x v="24"/>
    <x v="4"/>
  </r>
  <r>
    <d v="2025-04-15T00:00:00"/>
    <x v="3"/>
    <x v="0"/>
    <n v="18"/>
    <n v="209.5"/>
    <s v="Store D"/>
    <s v="Wholesale"/>
    <n v="0"/>
    <x v="3"/>
    <n v="3771"/>
    <s v="Credit Card"/>
    <s v="FREESHIP"/>
    <n v="0"/>
    <s v="REG100115"/>
    <s v="Cust 7656"/>
    <n v="38.229999999999997"/>
    <d v="2025-04-15T00:00:00"/>
    <d v="2025-04-23T00:00:00"/>
    <s v="Cameron"/>
    <x v="28"/>
    <x v="6"/>
  </r>
  <r>
    <d v="2025-04-15T00:00:00"/>
    <x v="3"/>
    <x v="3"/>
    <n v="8"/>
    <n v="348.98"/>
    <s v="Store A"/>
    <s v="Retail"/>
    <n v="0.1"/>
    <x v="2"/>
    <n v="2512.6559999999999"/>
    <s v="Online"/>
    <s v="FREESHIP"/>
    <n v="0"/>
    <s v="REG100116"/>
    <s v="Cust 5523"/>
    <n v="19.170000000000002"/>
    <d v="2025-04-15T00:00:00"/>
    <d v="2025-04-20T00:00:00"/>
    <s v="Cameron"/>
    <x v="28"/>
    <x v="6"/>
  </r>
  <r>
    <d v="2024-08-11T00:00:00"/>
    <x v="4"/>
    <x v="6"/>
    <n v="2"/>
    <n v="289.14"/>
    <s v="Store C"/>
    <s v="Retail"/>
    <n v="0.05"/>
    <x v="4"/>
    <n v="549.36599999999999"/>
    <s v="Online"/>
    <s v="SAVE10"/>
    <n v="0"/>
    <s v="REG100117"/>
    <s v="Cust 2015"/>
    <n v="5.13"/>
    <d v="2024-08-11T00:00:00"/>
    <d v="2024-08-13T00:00:00"/>
    <s v="Wendy"/>
    <x v="29"/>
    <x v="8"/>
  </r>
  <r>
    <d v="2023-12-01T00:00:00"/>
    <x v="1"/>
    <x v="2"/>
    <n v="5"/>
    <n v="396.93"/>
    <s v="Store B"/>
    <s v="Wholesale"/>
    <n v="0"/>
    <x v="4"/>
    <n v="1984.65"/>
    <s v="Credit Card"/>
    <s v="FREESHIP"/>
    <n v="0"/>
    <s v="REG100118"/>
    <s v="Cust 6895"/>
    <n v="48.63"/>
    <d v="2023-12-01T00:00:00"/>
    <d v="2023-12-08T00:00:00"/>
    <s v="Sophie"/>
    <x v="27"/>
    <x v="12"/>
  </r>
  <r>
    <d v="2023-08-06T00:00:00"/>
    <x v="3"/>
    <x v="0"/>
    <n v="10"/>
    <n v="508.57"/>
    <s v="Store D"/>
    <s v="Retail"/>
    <n v="0.05"/>
    <x v="5"/>
    <n v="4831.415"/>
    <s v="Online"/>
    <s v="SAVE10"/>
    <n v="0"/>
    <s v="REG100119"/>
    <s v="Cust 1797"/>
    <n v="9.35"/>
    <d v="2023-08-06T00:00:00"/>
    <d v="2023-08-11T00:00:00"/>
    <s v="Cameron"/>
    <x v="18"/>
    <x v="9"/>
  </r>
  <r>
    <d v="2024-01-24T00:00:00"/>
    <x v="3"/>
    <x v="0"/>
    <n v="11"/>
    <n v="259.61"/>
    <s v="Store C"/>
    <s v="Wholesale"/>
    <n v="0.1"/>
    <x v="3"/>
    <n v="2570.1390000000001"/>
    <s v="Cash"/>
    <s v="FREESHIP"/>
    <n v="0"/>
    <s v="REG100120"/>
    <s v="Cust 9969"/>
    <n v="13.73"/>
    <d v="2024-01-24T00:00:00"/>
    <d v="2024-01-31T00:00:00"/>
    <s v="Cameron"/>
    <x v="24"/>
    <x v="4"/>
  </r>
  <r>
    <d v="2024-03-07T00:00:00"/>
    <x v="3"/>
    <x v="3"/>
    <n v="9"/>
    <n v="313.29000000000002"/>
    <s v="Store D"/>
    <s v="Retail"/>
    <n v="0"/>
    <x v="3"/>
    <n v="2819.61"/>
    <s v="Online"/>
    <s v="FREESHIP"/>
    <n v="0"/>
    <s v="REG100121"/>
    <s v="Cust 1815"/>
    <n v="14.04"/>
    <d v="2024-03-07T00:00:00"/>
    <d v="2024-03-13T00:00:00"/>
    <s v="Cameron"/>
    <x v="25"/>
    <x v="7"/>
  </r>
  <r>
    <d v="2024-01-22T00:00:00"/>
    <x v="1"/>
    <x v="5"/>
    <n v="5"/>
    <n v="106.57"/>
    <s v="Store C"/>
    <s v="Wholesale"/>
    <n v="0.1"/>
    <x v="3"/>
    <n v="479.56499999999988"/>
    <s v="Debit Card"/>
    <s v="SAVE10"/>
    <n v="1"/>
    <s v="REG100122"/>
    <s v="Cust 7773"/>
    <n v="25.24"/>
    <d v="2024-01-22T00:00:00"/>
    <d v="2024-01-28T00:00:00"/>
    <s v="Sophie"/>
    <x v="24"/>
    <x v="4"/>
  </r>
  <r>
    <d v="2023-02-23T00:00:00"/>
    <x v="0"/>
    <x v="6"/>
    <n v="1"/>
    <n v="109"/>
    <s v="Store B"/>
    <s v="Retail"/>
    <n v="0.15"/>
    <x v="2"/>
    <n v="92.649999999999991"/>
    <s v="Cash"/>
    <s v="WINTER15"/>
    <n v="1"/>
    <s v="REG100123"/>
    <s v="Cust 1499"/>
    <n v="8.0299999999999994"/>
    <d v="2023-02-23T00:00:00"/>
    <d v="2023-02-27T00:00:00"/>
    <s v="Eric"/>
    <x v="0"/>
    <x v="0"/>
  </r>
  <r>
    <d v="2023-06-14T00:00:00"/>
    <x v="2"/>
    <x v="5"/>
    <n v="8"/>
    <n v="323.8"/>
    <s v="Store B"/>
    <s v="Retail"/>
    <n v="0"/>
    <x v="4"/>
    <n v="2590.4"/>
    <s v="Cash"/>
    <s v="SAVE10"/>
    <n v="1"/>
    <s v="REG100124"/>
    <s v="Cust 3809"/>
    <n v="35.229999999999997"/>
    <d v="2023-06-14T00:00:00"/>
    <d v="2023-06-22T00:00:00"/>
    <s v="Ryan"/>
    <x v="4"/>
    <x v="2"/>
  </r>
  <r>
    <d v="2025-05-13T00:00:00"/>
    <x v="2"/>
    <x v="0"/>
    <n v="16"/>
    <n v="384.32"/>
    <s v="Store A"/>
    <s v="Retail"/>
    <n v="0.05"/>
    <x v="2"/>
    <n v="5841.6639999999998"/>
    <s v="Cash"/>
    <s v="FREESHIP"/>
    <n v="0"/>
    <s v="REG100125"/>
    <s v="Cust 7824"/>
    <n v="21.5"/>
    <d v="2025-05-13T00:00:00"/>
    <d v="2025-05-15T00:00:00"/>
    <s v="Ryan"/>
    <x v="13"/>
    <x v="10"/>
  </r>
  <r>
    <d v="2024-07-30T00:00:00"/>
    <x v="3"/>
    <x v="6"/>
    <n v="16"/>
    <n v="163.86"/>
    <s v="Store C"/>
    <s v="Retail"/>
    <n v="0.15"/>
    <x v="4"/>
    <n v="2228.4960000000001"/>
    <s v="Gift Card"/>
    <s v="FREESHIP"/>
    <n v="0"/>
    <s v="REG100126"/>
    <s v="Cust 7258"/>
    <n v="37.950000000000003"/>
    <d v="2024-07-30T00:00:00"/>
    <d v="2024-08-06T00:00:00"/>
    <s v="Cameron"/>
    <x v="10"/>
    <x v="8"/>
  </r>
  <r>
    <d v="2024-07-18T00:00:00"/>
    <x v="0"/>
    <x v="5"/>
    <n v="5"/>
    <n v="23.41"/>
    <s v="Store B"/>
    <s v="Wholesale"/>
    <n v="0"/>
    <x v="2"/>
    <n v="117.05"/>
    <s v="Credit Card"/>
    <s v="WINTER15"/>
    <n v="0"/>
    <s v="REG100127"/>
    <s v="Cust 1151"/>
    <n v="26.44"/>
    <d v="2024-07-18T00:00:00"/>
    <d v="2024-07-27T00:00:00"/>
    <s v="Eric"/>
    <x v="10"/>
    <x v="8"/>
  </r>
  <r>
    <d v="2024-08-26T00:00:00"/>
    <x v="0"/>
    <x v="6"/>
    <n v="20"/>
    <n v="488.9"/>
    <s v="Store C"/>
    <s v="Wholesale"/>
    <n v="0.15"/>
    <x v="0"/>
    <n v="8311.2999999999993"/>
    <s v="Gift Card"/>
    <s v="FREESHIP"/>
    <n v="0"/>
    <s v="REG100128"/>
    <s v="Cust 6486"/>
    <n v="21.77"/>
    <d v="2024-08-26T00:00:00"/>
    <d v="2024-09-01T00:00:00"/>
    <s v="Eric"/>
    <x v="29"/>
    <x v="8"/>
  </r>
  <r>
    <d v="2025-06-08T00:00:00"/>
    <x v="4"/>
    <x v="5"/>
    <n v="7"/>
    <n v="452.56"/>
    <s v="Store A"/>
    <s v="Wholesale"/>
    <n v="0.05"/>
    <x v="2"/>
    <n v="3009.5239999999999"/>
    <s v="Gift Card"/>
    <s v="FREESHIP"/>
    <n v="0"/>
    <s v="REG100129"/>
    <s v="Cust 4034"/>
    <n v="46.97"/>
    <d v="2025-06-08T00:00:00"/>
    <d v="2025-06-15T00:00:00"/>
    <s v="Wendy"/>
    <x v="16"/>
    <x v="10"/>
  </r>
  <r>
    <d v="2025-05-16T00:00:00"/>
    <x v="2"/>
    <x v="2"/>
    <n v="11"/>
    <n v="465.24"/>
    <s v="Store A"/>
    <s v="Wholesale"/>
    <n v="0"/>
    <x v="3"/>
    <n v="5117.6400000000003"/>
    <s v="Debit Card"/>
    <m/>
    <n v="1"/>
    <s v="REG100130"/>
    <s v="Cust 9794"/>
    <n v="17.59"/>
    <d v="2025-05-16T00:00:00"/>
    <d v="2025-05-23T00:00:00"/>
    <s v="Ryan"/>
    <x v="13"/>
    <x v="10"/>
  </r>
  <r>
    <d v="2024-07-18T00:00:00"/>
    <x v="0"/>
    <x v="1"/>
    <n v="14"/>
    <n v="442.65"/>
    <s v="Store B"/>
    <s v="Retail"/>
    <n v="0"/>
    <x v="0"/>
    <n v="6197.0999999999995"/>
    <s v="Gift Card"/>
    <s v="SAVE10"/>
    <n v="0"/>
    <s v="REG100131"/>
    <s v="Cust 2414"/>
    <n v="28.76"/>
    <d v="2024-07-18T00:00:00"/>
    <d v="2024-07-24T00:00:00"/>
    <s v="Eric"/>
    <x v="10"/>
    <x v="8"/>
  </r>
  <r>
    <d v="2023-09-17T00:00:00"/>
    <x v="4"/>
    <x v="0"/>
    <n v="12"/>
    <n v="469.44"/>
    <s v="Store B"/>
    <s v="Wholesale"/>
    <n v="0"/>
    <x v="5"/>
    <n v="5633.28"/>
    <s v="Online"/>
    <s v="FREESHIP"/>
    <n v="0"/>
    <s v="REG100132"/>
    <s v="Cust 9024"/>
    <n v="33.299999999999997"/>
    <d v="2023-09-17T00:00:00"/>
    <d v="2023-09-26T00:00:00"/>
    <s v="Wendy"/>
    <x v="22"/>
    <x v="14"/>
  </r>
  <r>
    <d v="2023-03-13T00:00:00"/>
    <x v="0"/>
    <x v="4"/>
    <n v="14"/>
    <n v="248.77"/>
    <s v="Store C"/>
    <s v="Wholesale"/>
    <n v="0.05"/>
    <x v="5"/>
    <n v="3308.6410000000001"/>
    <s v="Debit Card"/>
    <s v="FREESHIP"/>
    <n v="1"/>
    <s v="REG100133"/>
    <s v="Cust 2663"/>
    <n v="21.76"/>
    <d v="2023-03-13T00:00:00"/>
    <d v="2023-03-19T00:00:00"/>
    <s v="Eric"/>
    <x v="17"/>
    <x v="13"/>
  </r>
  <r>
    <d v="2023-03-29T00:00:00"/>
    <x v="1"/>
    <x v="3"/>
    <n v="4"/>
    <n v="565.29"/>
    <s v="Store D"/>
    <s v="Wholesale"/>
    <n v="0.05"/>
    <x v="1"/>
    <n v="2148.1019999999999"/>
    <s v="Cash"/>
    <m/>
    <n v="0"/>
    <s v="REG100134"/>
    <s v="Cust 2293"/>
    <n v="27.04"/>
    <d v="2023-03-29T00:00:00"/>
    <d v="2023-04-03T00:00:00"/>
    <s v="Sophie"/>
    <x v="17"/>
    <x v="13"/>
  </r>
  <r>
    <d v="2023-07-14T00:00:00"/>
    <x v="3"/>
    <x v="2"/>
    <n v="12"/>
    <n v="244.8"/>
    <s v="Store B"/>
    <s v="Wholesale"/>
    <n v="0.05"/>
    <x v="2"/>
    <n v="2790.72"/>
    <s v="Online"/>
    <s v="FREESHIP"/>
    <n v="0"/>
    <s v="REG100135"/>
    <s v="Cust 8963"/>
    <n v="44.75"/>
    <d v="2023-07-14T00:00:00"/>
    <d v="2023-07-23T00:00:00"/>
    <s v="Cameron"/>
    <x v="11"/>
    <x v="9"/>
  </r>
  <r>
    <d v="2024-03-22T00:00:00"/>
    <x v="4"/>
    <x v="0"/>
    <n v="13"/>
    <n v="290.93"/>
    <s v="Store C"/>
    <s v="Retail"/>
    <n v="0.05"/>
    <x v="4"/>
    <n v="3592.9854999999998"/>
    <s v="Credit Card"/>
    <s v="FREESHIP"/>
    <n v="0"/>
    <s v="REG100136"/>
    <s v="Cust 9238"/>
    <n v="26.09"/>
    <d v="2024-03-22T00:00:00"/>
    <d v="2024-03-31T00:00:00"/>
    <s v="Wendy"/>
    <x v="25"/>
    <x v="7"/>
  </r>
  <r>
    <d v="2024-05-14T00:00:00"/>
    <x v="3"/>
    <x v="0"/>
    <n v="11"/>
    <n v="229.49"/>
    <s v="Store C"/>
    <s v="Retail"/>
    <n v="0.1"/>
    <x v="5"/>
    <n v="2271.951"/>
    <s v="Cash"/>
    <m/>
    <n v="0"/>
    <s v="REG100137"/>
    <s v="Cust 1390"/>
    <n v="35.39"/>
    <d v="2024-05-14T00:00:00"/>
    <d v="2024-05-17T00:00:00"/>
    <s v="Cameron"/>
    <x v="14"/>
    <x v="11"/>
  </r>
  <r>
    <d v="2023-05-30T00:00:00"/>
    <x v="3"/>
    <x v="4"/>
    <n v="2"/>
    <n v="427.36"/>
    <s v="Store A"/>
    <s v="Wholesale"/>
    <n v="0.05"/>
    <x v="4"/>
    <n v="811.98400000000004"/>
    <s v="Online"/>
    <s v="SAVE10"/>
    <n v="0"/>
    <s v="REG100138"/>
    <s v="Cust 8548"/>
    <n v="19.420000000000002"/>
    <d v="2023-05-30T00:00:00"/>
    <d v="2023-06-02T00:00:00"/>
    <s v="Cameron"/>
    <x v="2"/>
    <x v="2"/>
  </r>
  <r>
    <d v="2023-03-19T00:00:00"/>
    <x v="2"/>
    <x v="1"/>
    <n v="2"/>
    <n v="443.51"/>
    <s v="Store C"/>
    <s v="Wholesale"/>
    <n v="0.05"/>
    <x v="1"/>
    <n v="842.66899999999998"/>
    <s v="Cash"/>
    <m/>
    <n v="0"/>
    <s v="REG100139"/>
    <s v="Cust 2919"/>
    <n v="13.65"/>
    <d v="2023-03-19T00:00:00"/>
    <d v="2023-03-22T00:00:00"/>
    <s v="Ryan"/>
    <x v="17"/>
    <x v="13"/>
  </r>
  <r>
    <d v="2023-08-09T00:00:00"/>
    <x v="3"/>
    <x v="2"/>
    <n v="13"/>
    <n v="280.63"/>
    <s v="Store B"/>
    <s v="Wholesale"/>
    <n v="0.15"/>
    <x v="1"/>
    <n v="3100.9614999999999"/>
    <s v="Credit Card"/>
    <s v="SAVE10"/>
    <n v="0"/>
    <s v="REG100140"/>
    <s v="Cust 5847"/>
    <n v="10.14"/>
    <d v="2023-08-09T00:00:00"/>
    <d v="2023-08-14T00:00:00"/>
    <s v="Cameron"/>
    <x v="18"/>
    <x v="9"/>
  </r>
  <r>
    <d v="2024-10-13T00:00:00"/>
    <x v="2"/>
    <x v="3"/>
    <n v="13"/>
    <n v="416.66"/>
    <s v="Store B"/>
    <s v="Wholesale"/>
    <n v="0.15"/>
    <x v="5"/>
    <n v="4604.0929999999998"/>
    <s v="Credit Card"/>
    <s v="WINTER15"/>
    <n v="0"/>
    <s v="REG100141"/>
    <s v="Cust 5711"/>
    <n v="21.74"/>
    <d v="2024-10-13T00:00:00"/>
    <d v="2024-10-20T00:00:00"/>
    <s v="Ryan"/>
    <x v="7"/>
    <x v="5"/>
  </r>
  <r>
    <d v="2025-02-17T00:00:00"/>
    <x v="0"/>
    <x v="3"/>
    <n v="11"/>
    <n v="589.48"/>
    <s v="Store B"/>
    <s v="Retail"/>
    <n v="0"/>
    <x v="1"/>
    <n v="6484.2800000000007"/>
    <s v="Online"/>
    <s v="WINTER15"/>
    <n v="0"/>
    <s v="REG100142"/>
    <s v="Cust 5461"/>
    <n v="49.93"/>
    <d v="2025-02-17T00:00:00"/>
    <d v="2025-02-25T00:00:00"/>
    <s v="Eric"/>
    <x v="3"/>
    <x v="3"/>
  </r>
  <r>
    <d v="2025-06-11T00:00:00"/>
    <x v="2"/>
    <x v="1"/>
    <n v="18"/>
    <n v="152.84"/>
    <s v="Store C"/>
    <s v="Retail"/>
    <n v="0.15"/>
    <x v="4"/>
    <n v="2338.4520000000002"/>
    <s v="Debit Card"/>
    <s v="FREESHIP"/>
    <n v="1"/>
    <s v="REG100143"/>
    <s v="Cust 8905"/>
    <n v="20.3"/>
    <d v="2025-06-11T00:00:00"/>
    <d v="2025-06-20T00:00:00"/>
    <s v="Ryan"/>
    <x v="16"/>
    <x v="10"/>
  </r>
  <r>
    <d v="2024-04-29T00:00:00"/>
    <x v="3"/>
    <x v="5"/>
    <n v="4"/>
    <n v="163.66"/>
    <s v="Store B"/>
    <s v="Retail"/>
    <n v="0"/>
    <x v="5"/>
    <n v="654.64"/>
    <s v="Gift Card"/>
    <s v="WINTER15"/>
    <n v="1"/>
    <s v="REG100144"/>
    <s v="Cust 9618"/>
    <n v="31.8"/>
    <d v="2024-04-29T00:00:00"/>
    <d v="2024-05-01T00:00:00"/>
    <s v="Cameron"/>
    <x v="9"/>
    <x v="7"/>
  </r>
  <r>
    <d v="2023-03-18T00:00:00"/>
    <x v="4"/>
    <x v="0"/>
    <n v="19"/>
    <n v="484.25"/>
    <s v="Store C"/>
    <s v="Wholesale"/>
    <n v="0.15"/>
    <x v="5"/>
    <n v="7820.6374999999998"/>
    <s v="Debit Card"/>
    <s v="FREESHIP"/>
    <n v="1"/>
    <s v="REG100145"/>
    <s v="Cust 5203"/>
    <n v="29.51"/>
    <d v="2023-03-18T00:00:00"/>
    <d v="2023-03-20T00:00:00"/>
    <s v="Wendy"/>
    <x v="17"/>
    <x v="13"/>
  </r>
  <r>
    <d v="2024-12-21T00:00:00"/>
    <x v="2"/>
    <x v="3"/>
    <n v="9"/>
    <n v="380.4"/>
    <s v="Store B"/>
    <s v="Retail"/>
    <n v="0.1"/>
    <x v="3"/>
    <n v="3081.24"/>
    <s v="Credit Card"/>
    <m/>
    <n v="0"/>
    <s v="REG100146"/>
    <s v="Cust 1732"/>
    <n v="31"/>
    <d v="2024-12-21T00:00:00"/>
    <d v="2024-12-27T00:00:00"/>
    <s v="Ryan"/>
    <x v="1"/>
    <x v="1"/>
  </r>
  <r>
    <d v="2023-04-23T00:00:00"/>
    <x v="4"/>
    <x v="3"/>
    <n v="17"/>
    <n v="332.38"/>
    <s v="Store A"/>
    <s v="Retail"/>
    <n v="0.1"/>
    <x v="2"/>
    <n v="5085.4139999999998"/>
    <s v="Credit Card"/>
    <s v="SAVE10"/>
    <n v="1"/>
    <s v="REG100147"/>
    <s v="Cust 4734"/>
    <n v="33.81"/>
    <d v="2023-04-23T00:00:00"/>
    <d v="2023-05-02T00:00:00"/>
    <s v="Wendy"/>
    <x v="21"/>
    <x v="13"/>
  </r>
  <r>
    <d v="2025-05-11T00:00:00"/>
    <x v="3"/>
    <x v="3"/>
    <n v="15"/>
    <n v="210.94"/>
    <s v="Store C"/>
    <s v="Wholesale"/>
    <n v="0.05"/>
    <x v="2"/>
    <n v="3005.895"/>
    <s v="Online"/>
    <s v="SAVE10"/>
    <n v="0"/>
    <s v="REG100148"/>
    <s v="Cust 5895"/>
    <n v="10.91"/>
    <d v="2025-05-11T00:00:00"/>
    <d v="2025-05-21T00:00:00"/>
    <s v="Cameron"/>
    <x v="13"/>
    <x v="10"/>
  </r>
  <r>
    <d v="2024-03-03T00:00:00"/>
    <x v="1"/>
    <x v="1"/>
    <n v="9"/>
    <n v="382.8"/>
    <s v="Store D"/>
    <s v="Wholesale"/>
    <n v="0"/>
    <x v="0"/>
    <n v="3445.2"/>
    <s v="Cash"/>
    <m/>
    <n v="0"/>
    <s v="REG100149"/>
    <s v="Cust 9691"/>
    <n v="47.94"/>
    <d v="2024-03-03T00:00:00"/>
    <d v="2024-03-05T00:00:00"/>
    <s v="Sophie"/>
    <x v="25"/>
    <x v="4"/>
  </r>
  <r>
    <d v="2025-01-20T00:00:00"/>
    <x v="2"/>
    <x v="4"/>
    <n v="3"/>
    <n v="386.29"/>
    <s v="Store C"/>
    <s v="Retail"/>
    <n v="0.15"/>
    <x v="3"/>
    <n v="985.03950000000009"/>
    <s v="Credit Card"/>
    <s v="FREESHIP"/>
    <n v="0"/>
    <s v="REG100150"/>
    <s v="Cust 5406"/>
    <n v="32.450000000000003"/>
    <d v="2025-01-20T00:00:00"/>
    <d v="2025-01-30T00:00:00"/>
    <s v="Ryan"/>
    <x v="12"/>
    <x v="3"/>
  </r>
  <r>
    <d v="2025-03-22T00:00:00"/>
    <x v="2"/>
    <x v="5"/>
    <n v="5"/>
    <n v="225.99"/>
    <s v="Store C"/>
    <s v="Retail"/>
    <n v="0"/>
    <x v="0"/>
    <n v="1129.95"/>
    <s v="Online"/>
    <s v="SAVE10"/>
    <n v="1"/>
    <s v="REG100151"/>
    <s v="Cust 5750"/>
    <n v="10.88"/>
    <d v="2025-03-22T00:00:00"/>
    <d v="2025-03-30T00:00:00"/>
    <s v="Ryan"/>
    <x v="8"/>
    <x v="6"/>
  </r>
  <r>
    <d v="2025-03-28T00:00:00"/>
    <x v="1"/>
    <x v="6"/>
    <n v="20"/>
    <n v="312.56"/>
    <s v="Store D"/>
    <s v="Retail"/>
    <n v="0.15"/>
    <x v="2"/>
    <n v="5313.52"/>
    <s v="Gift Card"/>
    <s v="WINTER15"/>
    <n v="0"/>
    <s v="REG100152"/>
    <s v="Cust 6506"/>
    <n v="47.39"/>
    <d v="2025-03-28T00:00:00"/>
    <d v="2025-03-30T00:00:00"/>
    <s v="Sophie"/>
    <x v="8"/>
    <x v="6"/>
  </r>
  <r>
    <d v="2025-02-17T00:00:00"/>
    <x v="2"/>
    <x v="1"/>
    <n v="13"/>
    <n v="433.77"/>
    <s v="Store C"/>
    <s v="Wholesale"/>
    <n v="0.05"/>
    <x v="2"/>
    <n v="5357.0595000000003"/>
    <s v="Cash"/>
    <s v="FREESHIP"/>
    <n v="0"/>
    <s v="REG100153"/>
    <s v="Cust 8280"/>
    <n v="17.61"/>
    <d v="2025-02-17T00:00:00"/>
    <d v="2025-02-21T00:00:00"/>
    <s v="Ryan"/>
    <x v="3"/>
    <x v="3"/>
  </r>
  <r>
    <d v="2024-11-08T00:00:00"/>
    <x v="1"/>
    <x v="5"/>
    <n v="20"/>
    <n v="159.33000000000001"/>
    <s v="Store A"/>
    <s v="Wholesale"/>
    <n v="0"/>
    <x v="0"/>
    <n v="3186.6"/>
    <s v="Online"/>
    <s v="FREESHIP"/>
    <n v="0"/>
    <s v="REG100154"/>
    <s v="Cust 4358"/>
    <n v="26.32"/>
    <d v="2024-11-08T00:00:00"/>
    <d v="2024-11-11T00:00:00"/>
    <s v="Sophie"/>
    <x v="20"/>
    <x v="1"/>
  </r>
  <r>
    <d v="2024-03-17T00:00:00"/>
    <x v="1"/>
    <x v="1"/>
    <n v="18"/>
    <n v="32.229999999999997"/>
    <s v="Store B"/>
    <s v="Retail"/>
    <n v="0.05"/>
    <x v="5"/>
    <n v="551.13299999999992"/>
    <s v="Credit Card"/>
    <s v="FREESHIP"/>
    <n v="0"/>
    <s v="REG100155"/>
    <s v="Cust 3588"/>
    <n v="6.04"/>
    <d v="2024-03-17T00:00:00"/>
    <d v="2024-03-21T00:00:00"/>
    <s v="Sophie"/>
    <x v="25"/>
    <x v="7"/>
  </r>
  <r>
    <d v="2023-08-29T00:00:00"/>
    <x v="1"/>
    <x v="4"/>
    <n v="3"/>
    <n v="527.77"/>
    <s v="Store C"/>
    <s v="Retail"/>
    <n v="0.1"/>
    <x v="5"/>
    <n v="1424.979"/>
    <s v="Cash"/>
    <s v="FREESHIP"/>
    <n v="0"/>
    <s v="REG100156"/>
    <s v="Cust 4539"/>
    <n v="48.66"/>
    <d v="2023-08-29T00:00:00"/>
    <d v="2023-09-01T00:00:00"/>
    <s v="Sophie"/>
    <x v="18"/>
    <x v="9"/>
  </r>
  <r>
    <d v="2023-06-22T00:00:00"/>
    <x v="1"/>
    <x v="3"/>
    <n v="14"/>
    <n v="291.08999999999997"/>
    <s v="Store A"/>
    <s v="Retail"/>
    <n v="0"/>
    <x v="3"/>
    <n v="4075.26"/>
    <s v="Cash"/>
    <m/>
    <n v="0"/>
    <s v="REG100157"/>
    <s v="Cust 7067"/>
    <n v="39.979999999999997"/>
    <d v="2023-06-22T00:00:00"/>
    <d v="2023-06-30T00:00:00"/>
    <s v="Sophie"/>
    <x v="4"/>
    <x v="2"/>
  </r>
  <r>
    <d v="2024-02-24T00:00:00"/>
    <x v="1"/>
    <x v="1"/>
    <n v="8"/>
    <n v="350.12"/>
    <s v="Store C"/>
    <s v="Retail"/>
    <n v="0"/>
    <x v="1"/>
    <n v="2800.96"/>
    <s v="Gift Card"/>
    <s v="FREESHIP"/>
    <n v="1"/>
    <s v="REG100158"/>
    <s v="Cust 7720"/>
    <n v="31.65"/>
    <d v="2024-02-24T00:00:00"/>
    <d v="2024-03-01T00:00:00"/>
    <s v="Sophie"/>
    <x v="5"/>
    <x v="4"/>
  </r>
  <r>
    <d v="2024-04-10T00:00:00"/>
    <x v="2"/>
    <x v="1"/>
    <n v="10"/>
    <n v="195.26"/>
    <s v="Store D"/>
    <s v="Retail"/>
    <n v="0.05"/>
    <x v="1"/>
    <n v="1854.97"/>
    <s v="Credit Card"/>
    <s v="WINTER15"/>
    <n v="0"/>
    <s v="REG100159"/>
    <s v="Cust 5668"/>
    <n v="46.91"/>
    <d v="2024-04-10T00:00:00"/>
    <d v="2024-04-15T00:00:00"/>
    <s v="Ryan"/>
    <x v="9"/>
    <x v="7"/>
  </r>
  <r>
    <d v="2023-05-14T00:00:00"/>
    <x v="1"/>
    <x v="4"/>
    <n v="13"/>
    <n v="291.10000000000002"/>
    <s v="Store A"/>
    <s v="Wholesale"/>
    <n v="0"/>
    <x v="1"/>
    <n v="3784.3"/>
    <s v="Online"/>
    <s v="FREESHIP"/>
    <n v="0"/>
    <s v="REG100160"/>
    <s v="Cust 8367"/>
    <n v="7.66"/>
    <d v="2023-05-14T00:00:00"/>
    <d v="2023-05-19T00:00:00"/>
    <s v="Sophie"/>
    <x v="2"/>
    <x v="2"/>
  </r>
  <r>
    <d v="2023-03-11T00:00:00"/>
    <x v="1"/>
    <x v="4"/>
    <n v="6"/>
    <n v="93.92"/>
    <s v="Store B"/>
    <s v="Wholesale"/>
    <n v="0.15"/>
    <x v="0"/>
    <n v="478.99200000000002"/>
    <s v="Credit Card"/>
    <s v="FREESHIP"/>
    <n v="0"/>
    <s v="REG100161"/>
    <s v="Cust 4438"/>
    <n v="11"/>
    <d v="2023-03-11T00:00:00"/>
    <d v="2023-03-18T00:00:00"/>
    <s v="Sophie"/>
    <x v="17"/>
    <x v="13"/>
  </r>
  <r>
    <d v="2024-08-24T00:00:00"/>
    <x v="3"/>
    <x v="6"/>
    <n v="5"/>
    <n v="15.92"/>
    <s v="Store D"/>
    <s v="Retail"/>
    <n v="0"/>
    <x v="0"/>
    <n v="79.599999999999994"/>
    <s v="Credit Card"/>
    <m/>
    <n v="1"/>
    <s v="REG100162"/>
    <s v="Cust 3481"/>
    <n v="8.66"/>
    <d v="2024-08-24T00:00:00"/>
    <d v="2024-08-26T00:00:00"/>
    <s v="Cameron"/>
    <x v="29"/>
    <x v="8"/>
  </r>
  <r>
    <d v="2024-02-23T00:00:00"/>
    <x v="1"/>
    <x v="4"/>
    <n v="16"/>
    <n v="120.22"/>
    <s v="Store D"/>
    <s v="Retail"/>
    <n v="0.15"/>
    <x v="5"/>
    <n v="1634.992"/>
    <s v="Cash"/>
    <s v="SAVE10"/>
    <n v="0"/>
    <s v="REG100163"/>
    <s v="Cust 1489"/>
    <n v="8.42"/>
    <d v="2024-02-23T00:00:00"/>
    <d v="2024-03-01T00:00:00"/>
    <s v="Sophie"/>
    <x v="5"/>
    <x v="4"/>
  </r>
  <r>
    <d v="2024-01-30T00:00:00"/>
    <x v="2"/>
    <x v="4"/>
    <n v="11"/>
    <n v="118.8"/>
    <s v="Store A"/>
    <s v="Retail"/>
    <n v="0.05"/>
    <x v="0"/>
    <n v="1241.46"/>
    <s v="Online"/>
    <s v="SAVE10"/>
    <n v="0"/>
    <s v="REG100164"/>
    <s v="Cust 6649"/>
    <n v="39.32"/>
    <d v="2024-01-30T00:00:00"/>
    <d v="2024-02-06T00:00:00"/>
    <s v="Ryan"/>
    <x v="24"/>
    <x v="4"/>
  </r>
  <r>
    <d v="2024-01-23T00:00:00"/>
    <x v="0"/>
    <x v="5"/>
    <n v="10"/>
    <n v="92.45"/>
    <s v="Store C"/>
    <s v="Wholesale"/>
    <n v="0.1"/>
    <x v="2"/>
    <n v="832.05000000000007"/>
    <s v="Cash"/>
    <s v="WINTER15"/>
    <n v="1"/>
    <s v="REG100165"/>
    <s v="Cust 6114"/>
    <n v="42.61"/>
    <d v="2024-01-23T00:00:00"/>
    <d v="2024-01-29T00:00:00"/>
    <s v="Eric"/>
    <x v="24"/>
    <x v="4"/>
  </r>
  <r>
    <d v="2023-01-05T00:00:00"/>
    <x v="2"/>
    <x v="0"/>
    <n v="19"/>
    <n v="463.51"/>
    <s v="Store B"/>
    <s v="Retail"/>
    <n v="0"/>
    <x v="5"/>
    <n v="8806.69"/>
    <s v="Cash"/>
    <s v="FREESHIP"/>
    <n v="0"/>
    <s v="REG100166"/>
    <s v="Cust 9589"/>
    <n v="49.38"/>
    <d v="2023-01-05T00:00:00"/>
    <d v="2023-01-08T00:00:00"/>
    <s v="Ryan"/>
    <x v="6"/>
    <x v="0"/>
  </r>
  <r>
    <d v="2023-12-21T00:00:00"/>
    <x v="2"/>
    <x v="2"/>
    <n v="7"/>
    <n v="284.7"/>
    <s v="Store D"/>
    <s v="Wholesale"/>
    <n v="0.05"/>
    <x v="5"/>
    <n v="1893.2550000000001"/>
    <s v="Gift Card"/>
    <m/>
    <n v="0"/>
    <s v="REG100167"/>
    <s v="Cust 8184"/>
    <n v="5.36"/>
    <d v="2023-12-21T00:00:00"/>
    <d v="2023-12-30T00:00:00"/>
    <s v="Ryan"/>
    <x v="27"/>
    <x v="12"/>
  </r>
  <r>
    <d v="2023-05-25T00:00:00"/>
    <x v="4"/>
    <x v="0"/>
    <n v="20"/>
    <n v="343.25"/>
    <s v="Store C"/>
    <s v="Wholesale"/>
    <n v="0.05"/>
    <x v="1"/>
    <n v="6521.75"/>
    <s v="Debit Card"/>
    <s v="FREESHIP"/>
    <n v="0"/>
    <s v="REG100168"/>
    <s v="Cust 2490"/>
    <n v="28.77"/>
    <d v="2023-05-25T00:00:00"/>
    <d v="2023-06-02T00:00:00"/>
    <s v="Wendy"/>
    <x v="2"/>
    <x v="2"/>
  </r>
  <r>
    <d v="2025-06-30T00:00:00"/>
    <x v="3"/>
    <x v="3"/>
    <n v="6"/>
    <n v="95.24"/>
    <s v="Store D"/>
    <s v="Wholesale"/>
    <n v="0.15"/>
    <x v="4"/>
    <n v="485.72399999999988"/>
    <s v="Gift Card"/>
    <s v="FREESHIP"/>
    <n v="0"/>
    <s v="REG100169"/>
    <s v="Cust 1647"/>
    <n v="18.72"/>
    <d v="2025-06-30T00:00:00"/>
    <d v="2025-07-08T00:00:00"/>
    <s v="Cameron"/>
    <x v="16"/>
    <x v="10"/>
  </r>
  <r>
    <d v="2025-02-12T00:00:00"/>
    <x v="4"/>
    <x v="2"/>
    <n v="13"/>
    <n v="104.8"/>
    <s v="Store B"/>
    <s v="Retail"/>
    <n v="0.05"/>
    <x v="4"/>
    <n v="1294.28"/>
    <s v="Credit Card"/>
    <s v="WINTER15"/>
    <n v="0"/>
    <s v="REG100170"/>
    <s v="Cust 2017"/>
    <n v="7.79"/>
    <d v="2025-02-12T00:00:00"/>
    <d v="2025-02-19T00:00:00"/>
    <s v="Wendy"/>
    <x v="3"/>
    <x v="3"/>
  </r>
  <r>
    <d v="2024-01-03T00:00:00"/>
    <x v="4"/>
    <x v="5"/>
    <n v="12"/>
    <n v="164.31"/>
    <s v="Store B"/>
    <s v="Wholesale"/>
    <n v="0.1"/>
    <x v="0"/>
    <n v="1774.548"/>
    <s v="Cash"/>
    <m/>
    <n v="1"/>
    <s v="REG100171"/>
    <s v="Cust 3446"/>
    <n v="38.9"/>
    <d v="2024-01-03T00:00:00"/>
    <d v="2024-01-07T00:00:00"/>
    <s v="Wendy"/>
    <x v="24"/>
    <x v="4"/>
  </r>
  <r>
    <d v="2023-02-03T00:00:00"/>
    <x v="1"/>
    <x v="5"/>
    <n v="10"/>
    <n v="325.18"/>
    <s v="Store C"/>
    <s v="Wholesale"/>
    <n v="0.1"/>
    <x v="1"/>
    <n v="2926.62"/>
    <s v="Cash"/>
    <s v="WINTER15"/>
    <n v="0"/>
    <s v="REG100172"/>
    <s v="Cust 4877"/>
    <n v="47.39"/>
    <d v="2023-02-03T00:00:00"/>
    <d v="2023-02-13T00:00:00"/>
    <s v="Sophie"/>
    <x v="0"/>
    <x v="0"/>
  </r>
  <r>
    <d v="2024-03-01T00:00:00"/>
    <x v="0"/>
    <x v="4"/>
    <n v="17"/>
    <n v="542.82000000000005"/>
    <s v="Store A"/>
    <s v="Wholesale"/>
    <n v="0"/>
    <x v="1"/>
    <n v="9227.94"/>
    <s v="Debit Card"/>
    <s v="WINTER15"/>
    <n v="1"/>
    <s v="REG100173"/>
    <s v="Cust 9112"/>
    <n v="7.13"/>
    <d v="2024-03-01T00:00:00"/>
    <d v="2024-03-08T00:00:00"/>
    <s v="Eric"/>
    <x v="25"/>
    <x v="4"/>
  </r>
  <r>
    <d v="2023-05-24T00:00:00"/>
    <x v="2"/>
    <x v="5"/>
    <n v="14"/>
    <n v="207.48"/>
    <s v="Store C"/>
    <s v="Wholesale"/>
    <n v="0.05"/>
    <x v="0"/>
    <n v="2759.483999999999"/>
    <s v="Online"/>
    <m/>
    <n v="0"/>
    <s v="REG100174"/>
    <s v="Cust 8172"/>
    <n v="5.7"/>
    <d v="2023-05-24T00:00:00"/>
    <d v="2023-06-02T00:00:00"/>
    <s v="Ryan"/>
    <x v="2"/>
    <x v="2"/>
  </r>
  <r>
    <d v="2025-06-22T00:00:00"/>
    <x v="2"/>
    <x v="6"/>
    <n v="17"/>
    <n v="527.88"/>
    <s v="Store D"/>
    <s v="Retail"/>
    <n v="0.05"/>
    <x v="5"/>
    <n v="8525.2619999999988"/>
    <s v="Cash"/>
    <s v="WINTER15"/>
    <n v="0"/>
    <s v="REG100175"/>
    <s v="Cust 4597"/>
    <n v="21.32"/>
    <d v="2025-06-22T00:00:00"/>
    <d v="2025-06-28T00:00:00"/>
    <s v="Ryan"/>
    <x v="16"/>
    <x v="10"/>
  </r>
  <r>
    <d v="2023-04-10T00:00:00"/>
    <x v="2"/>
    <x v="3"/>
    <n v="11"/>
    <n v="71.209999999999994"/>
    <s v="Store B"/>
    <s v="Retail"/>
    <n v="0.05"/>
    <x v="4"/>
    <n v="744.14449999999988"/>
    <s v="Online"/>
    <m/>
    <n v="1"/>
    <s v="REG100176"/>
    <s v="Cust 3690"/>
    <n v="44.2"/>
    <d v="2023-04-10T00:00:00"/>
    <d v="2023-04-14T00:00:00"/>
    <s v="Ryan"/>
    <x v="21"/>
    <x v="13"/>
  </r>
  <r>
    <d v="2025-03-04T00:00:00"/>
    <x v="3"/>
    <x v="6"/>
    <n v="8"/>
    <n v="486.07"/>
    <s v="Store B"/>
    <s v="Retail"/>
    <n v="0"/>
    <x v="3"/>
    <n v="3888.56"/>
    <s v="Debit Card"/>
    <s v="FREESHIP"/>
    <n v="0"/>
    <s v="REG100177"/>
    <s v="Cust 2893"/>
    <n v="10.68"/>
    <d v="2025-03-04T00:00:00"/>
    <d v="2025-03-10T00:00:00"/>
    <s v="Cameron"/>
    <x v="8"/>
    <x v="6"/>
  </r>
  <r>
    <d v="2024-07-11T00:00:00"/>
    <x v="0"/>
    <x v="0"/>
    <n v="6"/>
    <n v="555.03"/>
    <s v="Store C"/>
    <s v="Retail"/>
    <n v="0.1"/>
    <x v="2"/>
    <n v="2997.1619999999998"/>
    <s v="Credit Card"/>
    <m/>
    <n v="1"/>
    <s v="REG100178"/>
    <s v="Cust 5602"/>
    <n v="23.69"/>
    <d v="2024-07-11T00:00:00"/>
    <d v="2024-07-20T00:00:00"/>
    <s v="Eric"/>
    <x v="10"/>
    <x v="8"/>
  </r>
  <r>
    <d v="2024-08-17T00:00:00"/>
    <x v="0"/>
    <x v="2"/>
    <n v="13"/>
    <n v="421.08"/>
    <s v="Store B"/>
    <s v="Wholesale"/>
    <n v="0"/>
    <x v="5"/>
    <n v="5474.04"/>
    <s v="Cash"/>
    <m/>
    <n v="0"/>
    <s v="REG100179"/>
    <s v="Cust 5616"/>
    <n v="24.51"/>
    <d v="2024-08-17T00:00:00"/>
    <d v="2024-08-20T00:00:00"/>
    <s v="Eric"/>
    <x v="29"/>
    <x v="8"/>
  </r>
  <r>
    <d v="2025-06-30T00:00:00"/>
    <x v="2"/>
    <x v="0"/>
    <n v="16"/>
    <n v="76.17"/>
    <s v="Store D"/>
    <s v="Wholesale"/>
    <n v="0.1"/>
    <x v="1"/>
    <n v="1096.848"/>
    <s v="Cash"/>
    <s v="WINTER15"/>
    <n v="0"/>
    <s v="REG100180"/>
    <s v="Cust 1312"/>
    <n v="41.88"/>
    <d v="2025-06-30T00:00:00"/>
    <d v="2025-07-09T00:00:00"/>
    <s v="Ryan"/>
    <x v="16"/>
    <x v="10"/>
  </r>
  <r>
    <d v="2024-11-06T00:00:00"/>
    <x v="1"/>
    <x v="6"/>
    <n v="3"/>
    <n v="503.55"/>
    <s v="Store C"/>
    <s v="Wholesale"/>
    <n v="0.1"/>
    <x v="5"/>
    <n v="1359.585"/>
    <s v="Credit Card"/>
    <s v="WINTER15"/>
    <n v="0"/>
    <s v="REG100181"/>
    <s v="Cust 6315"/>
    <n v="37.49"/>
    <d v="2024-11-06T00:00:00"/>
    <d v="2024-11-13T00:00:00"/>
    <s v="Sophie"/>
    <x v="20"/>
    <x v="1"/>
  </r>
  <r>
    <d v="2025-04-01T00:00:00"/>
    <x v="0"/>
    <x v="5"/>
    <n v="5"/>
    <n v="31.56"/>
    <s v="Store D"/>
    <s v="Retail"/>
    <n v="0"/>
    <x v="4"/>
    <n v="157.80000000000001"/>
    <s v="Online"/>
    <s v="SAVE10"/>
    <n v="1"/>
    <s v="REG100182"/>
    <s v="Cust 1224"/>
    <n v="29.56"/>
    <d v="2025-04-01T00:00:00"/>
    <d v="2025-04-04T00:00:00"/>
    <s v="Eric"/>
    <x v="28"/>
    <x v="6"/>
  </r>
  <r>
    <d v="2024-07-01T00:00:00"/>
    <x v="4"/>
    <x v="0"/>
    <n v="16"/>
    <n v="72.92"/>
    <s v="Store C"/>
    <s v="Wholesale"/>
    <n v="0.05"/>
    <x v="2"/>
    <n v="1108.384"/>
    <s v="Cash"/>
    <s v="FREESHIP"/>
    <n v="0"/>
    <s v="REG100183"/>
    <s v="Cust 7182"/>
    <n v="5.7"/>
    <d v="2024-07-01T00:00:00"/>
    <d v="2024-07-06T00:00:00"/>
    <s v="Wendy"/>
    <x v="10"/>
    <x v="8"/>
  </r>
  <r>
    <d v="2023-12-09T00:00:00"/>
    <x v="4"/>
    <x v="6"/>
    <n v="18"/>
    <n v="421.93"/>
    <s v="Store D"/>
    <s v="Retail"/>
    <n v="0.05"/>
    <x v="5"/>
    <n v="7215.0029999999997"/>
    <s v="Gift Card"/>
    <s v="WINTER15"/>
    <n v="0"/>
    <s v="REG100184"/>
    <s v="Cust 7901"/>
    <n v="23.42"/>
    <d v="2023-12-09T00:00:00"/>
    <d v="2023-12-18T00:00:00"/>
    <s v="Wendy"/>
    <x v="27"/>
    <x v="12"/>
  </r>
  <r>
    <d v="2023-06-27T00:00:00"/>
    <x v="2"/>
    <x v="2"/>
    <n v="15"/>
    <n v="478.41"/>
    <s v="Store B"/>
    <s v="Retail"/>
    <n v="0.1"/>
    <x v="3"/>
    <n v="6458.5350000000008"/>
    <s v="Debit Card"/>
    <s v="FREESHIP"/>
    <n v="0"/>
    <s v="REG100185"/>
    <s v="Cust 1736"/>
    <n v="35.630000000000003"/>
    <d v="2023-06-27T00:00:00"/>
    <d v="2023-06-30T00:00:00"/>
    <s v="Ryan"/>
    <x v="4"/>
    <x v="2"/>
  </r>
  <r>
    <d v="2023-07-14T00:00:00"/>
    <x v="1"/>
    <x v="3"/>
    <n v="9"/>
    <n v="501.74"/>
    <s v="Store D"/>
    <s v="Retail"/>
    <n v="0"/>
    <x v="5"/>
    <n v="4515.66"/>
    <s v="Online"/>
    <s v="SAVE10"/>
    <n v="1"/>
    <s v="REG100186"/>
    <s v="Cust 7795"/>
    <n v="39.74"/>
    <d v="2023-07-14T00:00:00"/>
    <d v="2023-07-17T00:00:00"/>
    <s v="Sophie"/>
    <x v="11"/>
    <x v="9"/>
  </r>
  <r>
    <d v="2023-02-08T00:00:00"/>
    <x v="1"/>
    <x v="5"/>
    <n v="7"/>
    <n v="247.53"/>
    <s v="Store C"/>
    <s v="Wholesale"/>
    <n v="0.15"/>
    <x v="1"/>
    <n v="1472.8035"/>
    <s v="Gift Card"/>
    <s v="FREESHIP"/>
    <n v="0"/>
    <s v="REG100187"/>
    <s v="Cust 2471"/>
    <n v="13.63"/>
    <d v="2023-02-08T00:00:00"/>
    <d v="2023-02-16T00:00:00"/>
    <s v="Sophie"/>
    <x v="0"/>
    <x v="0"/>
  </r>
  <r>
    <d v="2024-06-28T00:00:00"/>
    <x v="4"/>
    <x v="5"/>
    <n v="6"/>
    <n v="176.51"/>
    <s v="Store C"/>
    <s v="Wholesale"/>
    <n v="0.15"/>
    <x v="3"/>
    <n v="900.20099999999991"/>
    <s v="Debit Card"/>
    <s v="FREESHIP"/>
    <n v="1"/>
    <s v="REG100188"/>
    <s v="Cust 3068"/>
    <n v="31.02"/>
    <d v="2024-06-28T00:00:00"/>
    <d v="2024-07-07T00:00:00"/>
    <s v="Wendy"/>
    <x v="23"/>
    <x v="11"/>
  </r>
  <r>
    <d v="2024-04-15T00:00:00"/>
    <x v="4"/>
    <x v="0"/>
    <n v="2"/>
    <n v="143.43"/>
    <s v="Store D"/>
    <s v="Wholesale"/>
    <n v="0"/>
    <x v="5"/>
    <n v="286.86"/>
    <s v="Credit Card"/>
    <m/>
    <n v="0"/>
    <s v="REG100189"/>
    <s v="Cust 3848"/>
    <n v="36.94"/>
    <d v="2024-04-15T00:00:00"/>
    <d v="2024-04-22T00:00:00"/>
    <s v="Wendy"/>
    <x v="9"/>
    <x v="7"/>
  </r>
  <r>
    <d v="2023-11-27T00:00:00"/>
    <x v="0"/>
    <x v="4"/>
    <n v="12"/>
    <n v="538.5"/>
    <s v="Store C"/>
    <s v="Wholesale"/>
    <n v="0.05"/>
    <x v="1"/>
    <n v="6138.9"/>
    <s v="Cash"/>
    <s v="SAVE10"/>
    <n v="0"/>
    <s v="REG100190"/>
    <s v="Cust 7777"/>
    <n v="18.54"/>
    <d v="2023-11-27T00:00:00"/>
    <d v="2023-12-06T00:00:00"/>
    <s v="Eric"/>
    <x v="15"/>
    <x v="12"/>
  </r>
  <r>
    <d v="2025-03-27T00:00:00"/>
    <x v="0"/>
    <x v="6"/>
    <n v="5"/>
    <n v="87.17"/>
    <s v="Store D"/>
    <s v="Wholesale"/>
    <n v="0"/>
    <x v="3"/>
    <n v="435.85"/>
    <s v="Debit Card"/>
    <m/>
    <n v="0"/>
    <s v="REG100191"/>
    <s v="Cust 6613"/>
    <n v="13.01"/>
    <d v="2025-03-27T00:00:00"/>
    <d v="2025-03-29T00:00:00"/>
    <s v="Eric"/>
    <x v="8"/>
    <x v="6"/>
  </r>
  <r>
    <d v="2023-08-06T00:00:00"/>
    <x v="1"/>
    <x v="4"/>
    <n v="7"/>
    <n v="498.32"/>
    <s v="Store B"/>
    <s v="Wholesale"/>
    <n v="0.1"/>
    <x v="1"/>
    <n v="3139.4160000000002"/>
    <s v="Credit Card"/>
    <s v="WINTER15"/>
    <n v="1"/>
    <s v="REG100192"/>
    <s v="Cust 2326"/>
    <n v="27.65"/>
    <d v="2023-08-06T00:00:00"/>
    <d v="2023-08-10T00:00:00"/>
    <s v="Sophie"/>
    <x v="18"/>
    <x v="9"/>
  </r>
  <r>
    <d v="2024-12-13T00:00:00"/>
    <x v="1"/>
    <x v="6"/>
    <n v="15"/>
    <n v="57.14"/>
    <s v="Store B"/>
    <s v="Wholesale"/>
    <n v="0.15"/>
    <x v="3"/>
    <n v="728.53499999999997"/>
    <s v="Debit Card"/>
    <s v="FREESHIP"/>
    <n v="0"/>
    <s v="REG100193"/>
    <s v="Cust 8304"/>
    <n v="7.02"/>
    <d v="2024-12-13T00:00:00"/>
    <d v="2024-12-22T00:00:00"/>
    <s v="Sophie"/>
    <x v="1"/>
    <x v="1"/>
  </r>
  <r>
    <d v="2025-01-17T00:00:00"/>
    <x v="3"/>
    <x v="5"/>
    <n v="18"/>
    <n v="124.18"/>
    <s v="Store B"/>
    <s v="Wholesale"/>
    <n v="0.15"/>
    <x v="3"/>
    <n v="1899.954"/>
    <s v="Debit Card"/>
    <s v="SAVE10"/>
    <n v="0"/>
    <s v="REG100194"/>
    <s v="Cust 3630"/>
    <n v="45.77"/>
    <d v="2025-01-17T00:00:00"/>
    <d v="2025-01-26T00:00:00"/>
    <s v="Cameron"/>
    <x v="12"/>
    <x v="3"/>
  </r>
  <r>
    <d v="2023-11-26T00:00:00"/>
    <x v="4"/>
    <x v="2"/>
    <n v="12"/>
    <n v="107.45"/>
    <s v="Store C"/>
    <s v="Retail"/>
    <n v="0.1"/>
    <x v="5"/>
    <n v="1160.46"/>
    <s v="Online"/>
    <s v="FREESHIP"/>
    <n v="0"/>
    <s v="REG100195"/>
    <s v="Cust 8617"/>
    <n v="18.170000000000002"/>
    <d v="2023-11-26T00:00:00"/>
    <d v="2023-12-02T00:00:00"/>
    <s v="Wendy"/>
    <x v="15"/>
    <x v="12"/>
  </r>
  <r>
    <d v="2023-02-14T00:00:00"/>
    <x v="0"/>
    <x v="3"/>
    <n v="8"/>
    <n v="411.26"/>
    <s v="Store A"/>
    <s v="Retail"/>
    <n v="0.1"/>
    <x v="2"/>
    <n v="2961.0720000000001"/>
    <s v="Gift Card"/>
    <s v="WINTER15"/>
    <n v="0"/>
    <s v="REG100196"/>
    <s v="Cust 3530"/>
    <n v="28.57"/>
    <d v="2023-02-14T00:00:00"/>
    <d v="2023-02-18T00:00:00"/>
    <s v="Eric"/>
    <x v="0"/>
    <x v="0"/>
  </r>
  <r>
    <d v="2025-02-02T00:00:00"/>
    <x v="3"/>
    <x v="6"/>
    <n v="7"/>
    <n v="248.1"/>
    <s v="Store C"/>
    <s v="Retail"/>
    <n v="0"/>
    <x v="4"/>
    <n v="1736.7"/>
    <s v="Cash"/>
    <s v="WINTER15"/>
    <n v="0"/>
    <s v="REG100197"/>
    <s v="Cust 3884"/>
    <n v="31.8"/>
    <d v="2025-02-02T00:00:00"/>
    <d v="2025-02-06T00:00:00"/>
    <s v="Cameron"/>
    <x v="3"/>
    <x v="3"/>
  </r>
  <r>
    <d v="2023-04-11T00:00:00"/>
    <x v="4"/>
    <x v="6"/>
    <n v="3"/>
    <n v="486.52"/>
    <s v="Store B"/>
    <s v="Wholesale"/>
    <n v="0.1"/>
    <x v="3"/>
    <n v="1313.604"/>
    <s v="Gift Card"/>
    <m/>
    <n v="0"/>
    <s v="REG100198"/>
    <s v="Cust 5739"/>
    <n v="16.5"/>
    <d v="2023-04-11T00:00:00"/>
    <d v="2023-04-20T00:00:00"/>
    <s v="Wendy"/>
    <x v="21"/>
    <x v="13"/>
  </r>
  <r>
    <d v="2024-07-08T00:00:00"/>
    <x v="2"/>
    <x v="4"/>
    <n v="18"/>
    <n v="415.04"/>
    <s v="Store C"/>
    <s v="Wholesale"/>
    <n v="0.1"/>
    <x v="0"/>
    <n v="6723.6480000000001"/>
    <s v="Cash"/>
    <s v="WINTER15"/>
    <n v="0"/>
    <s v="REG100199"/>
    <s v="Cust 9707"/>
    <n v="33.58"/>
    <d v="2024-07-08T00:00:00"/>
    <d v="2024-07-13T00:00:00"/>
    <s v="Ryan"/>
    <x v="10"/>
    <x v="8"/>
  </r>
  <r>
    <d v="2023-02-08T00:00:00"/>
    <x v="3"/>
    <x v="6"/>
    <n v="19"/>
    <n v="165.38"/>
    <s v="Store B"/>
    <s v="Wholesale"/>
    <n v="0.15"/>
    <x v="1"/>
    <n v="2670.8870000000002"/>
    <s v="Online"/>
    <m/>
    <n v="0"/>
    <s v="REG100200"/>
    <s v="Cust 9288"/>
    <n v="25.2"/>
    <d v="2023-02-08T00:00:00"/>
    <d v="2023-02-14T00:00:00"/>
    <s v="Cameron"/>
    <x v="0"/>
    <x v="0"/>
  </r>
  <r>
    <d v="2024-04-09T00:00:00"/>
    <x v="4"/>
    <x v="2"/>
    <n v="2"/>
    <n v="117.47"/>
    <s v="Store C"/>
    <s v="Wholesale"/>
    <n v="0"/>
    <x v="0"/>
    <n v="234.94"/>
    <s v="Credit Card"/>
    <s v="FREESHIP"/>
    <n v="0"/>
    <s v="REG100201"/>
    <s v="Cust 1216"/>
    <n v="6.58"/>
    <d v="2024-04-09T00:00:00"/>
    <d v="2024-04-16T00:00:00"/>
    <s v="Wendy"/>
    <x v="9"/>
    <x v="7"/>
  </r>
  <r>
    <d v="2023-08-14T00:00:00"/>
    <x v="3"/>
    <x v="6"/>
    <n v="9"/>
    <n v="461.79"/>
    <s v="Store C"/>
    <s v="Wholesale"/>
    <n v="0.15"/>
    <x v="2"/>
    <n v="3532.6934999999999"/>
    <s v="Gift Card"/>
    <m/>
    <n v="0"/>
    <s v="REG100202"/>
    <s v="Cust 2489"/>
    <n v="47.81"/>
    <d v="2023-08-14T00:00:00"/>
    <d v="2023-08-18T00:00:00"/>
    <s v="Cameron"/>
    <x v="18"/>
    <x v="9"/>
  </r>
  <r>
    <d v="2024-09-02T00:00:00"/>
    <x v="4"/>
    <x v="5"/>
    <n v="19"/>
    <n v="208.72"/>
    <s v="Store D"/>
    <s v="Retail"/>
    <n v="0.05"/>
    <x v="2"/>
    <n v="3767.3960000000002"/>
    <s v="Credit Card"/>
    <s v="FREESHIP"/>
    <n v="0"/>
    <s v="REG100203"/>
    <s v="Cust 7171"/>
    <n v="38.409999999999997"/>
    <d v="2024-09-02T00:00:00"/>
    <d v="2024-09-06T00:00:00"/>
    <s v="Wendy"/>
    <x v="26"/>
    <x v="5"/>
  </r>
  <r>
    <d v="2025-06-29T00:00:00"/>
    <x v="3"/>
    <x v="4"/>
    <n v="16"/>
    <n v="278.13"/>
    <s v="Store A"/>
    <s v="Wholesale"/>
    <n v="0.15"/>
    <x v="1"/>
    <n v="3782.5680000000002"/>
    <s v="Cash"/>
    <s v="SAVE10"/>
    <n v="0"/>
    <s v="REG100204"/>
    <s v="Cust 9125"/>
    <n v="24.29"/>
    <d v="2025-06-29T00:00:00"/>
    <d v="2025-07-04T00:00:00"/>
    <s v="Cameron"/>
    <x v="16"/>
    <x v="10"/>
  </r>
  <r>
    <d v="2025-04-02T00:00:00"/>
    <x v="4"/>
    <x v="0"/>
    <n v="2"/>
    <n v="580.19000000000005"/>
    <s v="Store B"/>
    <s v="Wholesale"/>
    <n v="0.05"/>
    <x v="4"/>
    <n v="1102.3610000000001"/>
    <s v="Debit Card"/>
    <s v="WINTER15"/>
    <n v="0"/>
    <s v="REG100205"/>
    <s v="Cust 9697"/>
    <n v="7.33"/>
    <d v="2025-04-02T00:00:00"/>
    <d v="2025-04-08T00:00:00"/>
    <s v="Wendy"/>
    <x v="28"/>
    <x v="6"/>
  </r>
  <r>
    <d v="2023-04-27T00:00:00"/>
    <x v="3"/>
    <x v="5"/>
    <n v="8"/>
    <n v="536.42999999999995"/>
    <s v="Store B"/>
    <s v="Retail"/>
    <n v="0"/>
    <x v="3"/>
    <n v="4291.4399999999996"/>
    <s v="Cash"/>
    <m/>
    <n v="1"/>
    <s v="REG100206"/>
    <s v="Cust 8171"/>
    <n v="14.58"/>
    <d v="2023-04-27T00:00:00"/>
    <d v="2023-05-07T00:00:00"/>
    <s v="Cameron"/>
    <x v="21"/>
    <x v="13"/>
  </r>
  <r>
    <d v="2024-08-07T00:00:00"/>
    <x v="0"/>
    <x v="1"/>
    <n v="1"/>
    <n v="94.33"/>
    <s v="Store A"/>
    <s v="Wholesale"/>
    <n v="0"/>
    <x v="3"/>
    <n v="94.33"/>
    <s v="Online"/>
    <m/>
    <n v="0"/>
    <s v="REG100207"/>
    <s v="Cust 2004"/>
    <n v="49.17"/>
    <d v="2024-08-07T00:00:00"/>
    <d v="2024-08-17T00:00:00"/>
    <s v="Eric"/>
    <x v="29"/>
    <x v="8"/>
  </r>
  <r>
    <d v="2023-04-15T00:00:00"/>
    <x v="4"/>
    <x v="0"/>
    <n v="16"/>
    <n v="489.94"/>
    <s v="Store C"/>
    <s v="Retail"/>
    <n v="0.1"/>
    <x v="2"/>
    <n v="7055.1360000000004"/>
    <s v="Cash"/>
    <s v="SAVE10"/>
    <n v="0"/>
    <s v="REG100208"/>
    <s v="Cust 4214"/>
    <n v="9.69"/>
    <d v="2023-04-15T00:00:00"/>
    <d v="2023-04-25T00:00:00"/>
    <s v="Wendy"/>
    <x v="21"/>
    <x v="13"/>
  </r>
  <r>
    <d v="2023-08-12T00:00:00"/>
    <x v="1"/>
    <x v="2"/>
    <n v="4"/>
    <n v="551.71"/>
    <s v="Store A"/>
    <s v="Retail"/>
    <n v="0.05"/>
    <x v="0"/>
    <n v="2096.498"/>
    <s v="Gift Card"/>
    <m/>
    <n v="1"/>
    <s v="REG100209"/>
    <s v="Cust 9837"/>
    <n v="26.32"/>
    <d v="2023-08-12T00:00:00"/>
    <d v="2023-08-15T00:00:00"/>
    <s v="Sophie"/>
    <x v="18"/>
    <x v="9"/>
  </r>
  <r>
    <d v="2023-06-19T00:00:00"/>
    <x v="4"/>
    <x v="6"/>
    <n v="17"/>
    <n v="595.57000000000005"/>
    <s v="Store D"/>
    <s v="Retail"/>
    <n v="0.15"/>
    <x v="5"/>
    <n v="8605.9865000000009"/>
    <s v="Credit Card"/>
    <s v="WINTER15"/>
    <n v="0"/>
    <s v="REG100210"/>
    <s v="Cust 2082"/>
    <n v="9.73"/>
    <d v="2023-06-19T00:00:00"/>
    <d v="2023-06-28T00:00:00"/>
    <s v="Wendy"/>
    <x v="4"/>
    <x v="2"/>
  </r>
  <r>
    <d v="2023-12-29T00:00:00"/>
    <x v="0"/>
    <x v="6"/>
    <n v="1"/>
    <n v="180.12"/>
    <s v="Store A"/>
    <s v="Wholesale"/>
    <n v="0.1"/>
    <x v="0"/>
    <n v="162.108"/>
    <s v="Debit Card"/>
    <m/>
    <n v="0"/>
    <s v="REG100211"/>
    <s v="Cust 3001"/>
    <n v="27.07"/>
    <d v="2023-12-29T00:00:00"/>
    <d v="2024-01-07T00:00:00"/>
    <s v="Eric"/>
    <x v="27"/>
    <x v="12"/>
  </r>
  <r>
    <d v="2023-03-26T00:00:00"/>
    <x v="0"/>
    <x v="2"/>
    <n v="12"/>
    <n v="301.5"/>
    <s v="Store D"/>
    <s v="Retail"/>
    <n v="0.15"/>
    <x v="5"/>
    <n v="3075.3"/>
    <s v="Credit Card"/>
    <s v="FREESHIP"/>
    <n v="1"/>
    <s v="REG100212"/>
    <s v="Cust 6161"/>
    <n v="43.67"/>
    <d v="2023-03-26T00:00:00"/>
    <d v="2023-03-30T00:00:00"/>
    <s v="Eric"/>
    <x v="17"/>
    <x v="13"/>
  </r>
  <r>
    <d v="2023-09-01T00:00:00"/>
    <x v="1"/>
    <x v="1"/>
    <n v="20"/>
    <n v="273.55"/>
    <s v="Store D"/>
    <s v="Retail"/>
    <n v="0.15"/>
    <x v="2"/>
    <n v="4650.3499999999995"/>
    <s v="Debit Card"/>
    <m/>
    <n v="0"/>
    <s v="REG100213"/>
    <s v="Cust 5220"/>
    <n v="14.76"/>
    <d v="2023-09-01T00:00:00"/>
    <d v="2023-09-07T00:00:00"/>
    <s v="Sophie"/>
    <x v="22"/>
    <x v="9"/>
  </r>
  <r>
    <d v="2024-08-05T00:00:00"/>
    <x v="4"/>
    <x v="5"/>
    <n v="6"/>
    <n v="187.06"/>
    <s v="Store B"/>
    <s v="Wholesale"/>
    <n v="0.1"/>
    <x v="2"/>
    <n v="1010.124"/>
    <s v="Debit Card"/>
    <s v="FREESHIP"/>
    <n v="0"/>
    <s v="REG100214"/>
    <s v="Cust 3386"/>
    <n v="11.03"/>
    <d v="2024-08-05T00:00:00"/>
    <d v="2024-08-13T00:00:00"/>
    <s v="Wendy"/>
    <x v="29"/>
    <x v="8"/>
  </r>
  <r>
    <d v="2025-01-23T00:00:00"/>
    <x v="2"/>
    <x v="3"/>
    <n v="16"/>
    <n v="562.52"/>
    <s v="Store D"/>
    <s v="Retail"/>
    <n v="0"/>
    <x v="2"/>
    <n v="9000.32"/>
    <s v="Gift Card"/>
    <m/>
    <n v="0"/>
    <s v="REG100215"/>
    <s v="Cust 1591"/>
    <n v="18.23"/>
    <d v="2025-01-23T00:00:00"/>
    <d v="2025-01-27T00:00:00"/>
    <s v="Ryan"/>
    <x v="12"/>
    <x v="3"/>
  </r>
  <r>
    <d v="2023-05-16T00:00:00"/>
    <x v="0"/>
    <x v="5"/>
    <n v="4"/>
    <n v="85.16"/>
    <s v="Store D"/>
    <s v="Wholesale"/>
    <n v="0.1"/>
    <x v="3"/>
    <n v="306.57600000000002"/>
    <s v="Credit Card"/>
    <m/>
    <n v="0"/>
    <s v="REG100216"/>
    <s v="Cust 3434"/>
    <n v="38.51"/>
    <d v="2023-05-16T00:00:00"/>
    <d v="2023-05-23T00:00:00"/>
    <s v="Eric"/>
    <x v="2"/>
    <x v="2"/>
  </r>
  <r>
    <d v="2023-02-14T00:00:00"/>
    <x v="2"/>
    <x v="5"/>
    <n v="12"/>
    <n v="451.51"/>
    <s v="Store B"/>
    <s v="Wholesale"/>
    <n v="0.15"/>
    <x v="3"/>
    <n v="4605.402"/>
    <s v="Online"/>
    <s v="WINTER15"/>
    <n v="0"/>
    <s v="REG100217"/>
    <s v="Cust 1501"/>
    <n v="9.5399999999999991"/>
    <d v="2023-02-14T00:00:00"/>
    <d v="2023-02-22T00:00:00"/>
    <s v="Ryan"/>
    <x v="0"/>
    <x v="0"/>
  </r>
  <r>
    <d v="2024-06-03T00:00:00"/>
    <x v="3"/>
    <x v="5"/>
    <n v="1"/>
    <n v="259.87"/>
    <s v="Store D"/>
    <s v="Retail"/>
    <n v="0.15"/>
    <x v="0"/>
    <n v="220.8895"/>
    <s v="Gift Card"/>
    <s v="FREESHIP"/>
    <n v="0"/>
    <s v="REG100218"/>
    <s v="Cust 9683"/>
    <n v="19.2"/>
    <d v="2024-06-03T00:00:00"/>
    <d v="2024-06-12T00:00:00"/>
    <s v="Cameron"/>
    <x v="23"/>
    <x v="11"/>
  </r>
  <r>
    <d v="2023-11-08T00:00:00"/>
    <x v="3"/>
    <x v="5"/>
    <n v="20"/>
    <n v="268.25"/>
    <s v="Store D"/>
    <s v="Retail"/>
    <n v="0.05"/>
    <x v="4"/>
    <n v="5096.75"/>
    <s v="Cash"/>
    <s v="FREESHIP"/>
    <n v="0"/>
    <s v="REG100219"/>
    <s v="Cust 5416"/>
    <n v="20.96"/>
    <d v="2023-11-08T00:00:00"/>
    <d v="2023-11-15T00:00:00"/>
    <s v="Cameron"/>
    <x v="15"/>
    <x v="12"/>
  </r>
  <r>
    <d v="2023-01-24T00:00:00"/>
    <x v="4"/>
    <x v="1"/>
    <n v="10"/>
    <n v="266.13"/>
    <s v="Store B"/>
    <s v="Wholesale"/>
    <n v="0"/>
    <x v="4"/>
    <n v="2661.3"/>
    <s v="Gift Card"/>
    <s v="WINTER15"/>
    <n v="0"/>
    <s v="REG100220"/>
    <s v="Cust 2153"/>
    <n v="21.01"/>
    <d v="2023-01-24T00:00:00"/>
    <d v="2023-01-26T00:00:00"/>
    <s v="Wendy"/>
    <x v="6"/>
    <x v="0"/>
  </r>
  <r>
    <d v="2025-03-20T00:00:00"/>
    <x v="4"/>
    <x v="0"/>
    <n v="18"/>
    <n v="493.06"/>
    <s v="Store D"/>
    <s v="Wholesale"/>
    <n v="0.05"/>
    <x v="4"/>
    <n v="8431.3259999999991"/>
    <s v="Cash"/>
    <s v="WINTER15"/>
    <n v="1"/>
    <s v="REG100221"/>
    <s v="Cust 3572"/>
    <n v="46.87"/>
    <d v="2025-03-20T00:00:00"/>
    <d v="2025-03-28T00:00:00"/>
    <s v="Wendy"/>
    <x v="8"/>
    <x v="6"/>
  </r>
  <r>
    <d v="2024-02-22T00:00:00"/>
    <x v="4"/>
    <x v="4"/>
    <n v="4"/>
    <n v="36.82"/>
    <s v="Store C"/>
    <s v="Wholesale"/>
    <n v="0.05"/>
    <x v="2"/>
    <n v="139.916"/>
    <s v="Credit Card"/>
    <s v="WINTER15"/>
    <n v="1"/>
    <s v="REG100222"/>
    <s v="Cust 6372"/>
    <n v="24.86"/>
    <d v="2024-02-22T00:00:00"/>
    <d v="2024-03-01T00:00:00"/>
    <s v="Wendy"/>
    <x v="5"/>
    <x v="4"/>
  </r>
  <r>
    <d v="2025-04-02T00:00:00"/>
    <x v="2"/>
    <x v="6"/>
    <n v="12"/>
    <n v="413.45"/>
    <s v="Store D"/>
    <s v="Retail"/>
    <n v="0.15"/>
    <x v="5"/>
    <n v="4217.1899999999996"/>
    <s v="Cash"/>
    <s v="FREESHIP"/>
    <n v="0"/>
    <s v="REG100223"/>
    <s v="Cust 6109"/>
    <n v="23.25"/>
    <d v="2025-04-02T00:00:00"/>
    <d v="2025-04-10T00:00:00"/>
    <s v="Ryan"/>
    <x v="28"/>
    <x v="6"/>
  </r>
  <r>
    <d v="2025-06-12T00:00:00"/>
    <x v="2"/>
    <x v="3"/>
    <n v="19"/>
    <n v="446.25"/>
    <s v="Store B"/>
    <s v="Retail"/>
    <n v="0.1"/>
    <x v="0"/>
    <n v="7630.875"/>
    <s v="Gift Card"/>
    <m/>
    <n v="0"/>
    <s v="REG100224"/>
    <s v="Cust 5234"/>
    <n v="14.88"/>
    <d v="2025-06-12T00:00:00"/>
    <d v="2025-06-18T00:00:00"/>
    <s v="Ryan"/>
    <x v="16"/>
    <x v="10"/>
  </r>
  <r>
    <d v="2023-05-13T00:00:00"/>
    <x v="0"/>
    <x v="0"/>
    <n v="7"/>
    <n v="82.77"/>
    <s v="Store D"/>
    <s v="Wholesale"/>
    <n v="0.15"/>
    <x v="2"/>
    <n v="492.48149999999998"/>
    <s v="Debit Card"/>
    <s v="SAVE10"/>
    <n v="1"/>
    <s v="REG100225"/>
    <s v="Cust 5530"/>
    <n v="15.66"/>
    <d v="2023-05-13T00:00:00"/>
    <d v="2023-05-17T00:00:00"/>
    <s v="Eric"/>
    <x v="2"/>
    <x v="2"/>
  </r>
  <r>
    <d v="2023-03-25T00:00:00"/>
    <x v="1"/>
    <x v="2"/>
    <n v="17"/>
    <n v="339.88"/>
    <s v="Store A"/>
    <s v="Retail"/>
    <n v="0"/>
    <x v="1"/>
    <n v="5777.96"/>
    <s v="Cash"/>
    <m/>
    <n v="0"/>
    <s v="REG100226"/>
    <s v="Cust 5398"/>
    <n v="44.86"/>
    <d v="2023-03-25T00:00:00"/>
    <d v="2023-03-28T00:00:00"/>
    <s v="Sophie"/>
    <x v="17"/>
    <x v="13"/>
  </r>
  <r>
    <d v="2024-11-22T00:00:00"/>
    <x v="1"/>
    <x v="6"/>
    <n v="19"/>
    <n v="364.32"/>
    <s v="Store B"/>
    <s v="Retail"/>
    <n v="0.15"/>
    <x v="2"/>
    <n v="5883.768"/>
    <s v="Debit Card"/>
    <m/>
    <n v="1"/>
    <s v="REG100227"/>
    <s v="Cust 3247"/>
    <n v="39.76"/>
    <d v="2024-11-22T00:00:00"/>
    <d v="2024-11-25T00:00:00"/>
    <s v="Sophie"/>
    <x v="20"/>
    <x v="1"/>
  </r>
  <r>
    <d v="2023-07-07T00:00:00"/>
    <x v="0"/>
    <x v="5"/>
    <n v="3"/>
    <n v="71.91"/>
    <s v="Store B"/>
    <s v="Wholesale"/>
    <n v="0"/>
    <x v="1"/>
    <n v="215.73"/>
    <s v="Gift Card"/>
    <s v="WINTER15"/>
    <n v="1"/>
    <s v="REG100228"/>
    <s v="Cust 7137"/>
    <n v="46.25"/>
    <d v="2023-07-07T00:00:00"/>
    <d v="2023-07-17T00:00:00"/>
    <s v="Eric"/>
    <x v="11"/>
    <x v="9"/>
  </r>
  <r>
    <d v="2024-10-05T00:00:00"/>
    <x v="0"/>
    <x v="5"/>
    <n v="20"/>
    <n v="576.29999999999995"/>
    <s v="Store D"/>
    <s v="Wholesale"/>
    <n v="0.05"/>
    <x v="0"/>
    <n v="10949.7"/>
    <s v="Credit Card"/>
    <m/>
    <n v="0"/>
    <s v="REG100229"/>
    <s v="Cust 4627"/>
    <n v="25.22"/>
    <d v="2024-10-05T00:00:00"/>
    <d v="2024-10-09T00:00:00"/>
    <s v="Eric"/>
    <x v="7"/>
    <x v="5"/>
  </r>
  <r>
    <d v="2024-03-31T00:00:00"/>
    <x v="4"/>
    <x v="0"/>
    <n v="7"/>
    <n v="120.6"/>
    <s v="Store B"/>
    <s v="Wholesale"/>
    <n v="0"/>
    <x v="4"/>
    <n v="844.19999999999993"/>
    <s v="Online"/>
    <s v="WINTER15"/>
    <n v="0"/>
    <s v="REG100230"/>
    <s v="Cust 4878"/>
    <n v="43.8"/>
    <d v="2024-03-31T00:00:00"/>
    <d v="2024-04-08T00:00:00"/>
    <s v="Wendy"/>
    <x v="25"/>
    <x v="7"/>
  </r>
  <r>
    <d v="2025-04-01T00:00:00"/>
    <x v="4"/>
    <x v="6"/>
    <n v="8"/>
    <n v="96.19"/>
    <s v="Store A"/>
    <s v="Wholesale"/>
    <n v="0.05"/>
    <x v="3"/>
    <n v="731.04399999999998"/>
    <s v="Debit Card"/>
    <s v="SAVE10"/>
    <n v="0"/>
    <s v="REG100231"/>
    <s v="Cust 2779"/>
    <n v="34.07"/>
    <d v="2025-04-01T00:00:00"/>
    <d v="2025-04-04T00:00:00"/>
    <s v="Wendy"/>
    <x v="28"/>
    <x v="6"/>
  </r>
  <r>
    <d v="2023-08-23T00:00:00"/>
    <x v="4"/>
    <x v="6"/>
    <n v="14"/>
    <n v="471.17"/>
    <s v="Store A"/>
    <s v="Wholesale"/>
    <n v="0.05"/>
    <x v="3"/>
    <n v="6266.5609999999997"/>
    <s v="Gift Card"/>
    <s v="FREESHIP"/>
    <n v="0"/>
    <s v="REG100232"/>
    <s v="Cust 8606"/>
    <n v="26.38"/>
    <d v="2023-08-23T00:00:00"/>
    <d v="2023-08-26T00:00:00"/>
    <s v="Wendy"/>
    <x v="18"/>
    <x v="9"/>
  </r>
  <r>
    <d v="2024-08-14T00:00:00"/>
    <x v="1"/>
    <x v="1"/>
    <n v="20"/>
    <n v="14.33"/>
    <s v="Store D"/>
    <s v="Wholesale"/>
    <n v="0.1"/>
    <x v="3"/>
    <n v="257.94000000000011"/>
    <s v="Debit Card"/>
    <m/>
    <n v="0"/>
    <s v="REG100233"/>
    <s v="Cust 9599"/>
    <n v="6.22"/>
    <d v="2024-08-14T00:00:00"/>
    <d v="2024-08-21T00:00:00"/>
    <s v="Sophie"/>
    <x v="29"/>
    <x v="8"/>
  </r>
  <r>
    <d v="2025-02-14T00:00:00"/>
    <x v="3"/>
    <x v="5"/>
    <n v="18"/>
    <n v="499.61"/>
    <s v="Store B"/>
    <s v="Retail"/>
    <n v="0.15"/>
    <x v="1"/>
    <n v="7644.0329999999994"/>
    <s v="Debit Card"/>
    <m/>
    <n v="0"/>
    <s v="REG100234"/>
    <s v="Cust 4500"/>
    <n v="9.64"/>
    <d v="2025-02-14T00:00:00"/>
    <d v="2025-02-19T00:00:00"/>
    <s v="Cameron"/>
    <x v="3"/>
    <x v="3"/>
  </r>
  <r>
    <d v="2023-11-11T00:00:00"/>
    <x v="4"/>
    <x v="4"/>
    <n v="14"/>
    <n v="16.329999999999998"/>
    <s v="Store B"/>
    <s v="Wholesale"/>
    <n v="0.1"/>
    <x v="4"/>
    <n v="205.75800000000001"/>
    <s v="Debit Card"/>
    <s v="WINTER15"/>
    <n v="0"/>
    <s v="REG100235"/>
    <s v="Cust 4173"/>
    <n v="22.72"/>
    <d v="2023-11-11T00:00:00"/>
    <d v="2023-11-16T00:00:00"/>
    <s v="Wendy"/>
    <x v="15"/>
    <x v="12"/>
  </r>
  <r>
    <d v="2024-04-01T00:00:00"/>
    <x v="3"/>
    <x v="2"/>
    <n v="17"/>
    <n v="480.62"/>
    <s v="Store C"/>
    <s v="Wholesale"/>
    <n v="0.15"/>
    <x v="3"/>
    <n v="6944.9589999999998"/>
    <s v="Online"/>
    <s v="FREESHIP"/>
    <n v="0"/>
    <s v="REG100236"/>
    <s v="Cust 7607"/>
    <n v="37.090000000000003"/>
    <d v="2024-04-01T00:00:00"/>
    <d v="2024-04-09T00:00:00"/>
    <s v="Cameron"/>
    <x v="9"/>
    <x v="7"/>
  </r>
  <r>
    <d v="2024-06-13T00:00:00"/>
    <x v="1"/>
    <x v="3"/>
    <n v="5"/>
    <n v="555.84"/>
    <s v="Store C"/>
    <s v="Retail"/>
    <n v="0.05"/>
    <x v="4"/>
    <n v="2640.24"/>
    <s v="Credit Card"/>
    <m/>
    <n v="0"/>
    <s v="REG100237"/>
    <s v="Cust 4768"/>
    <n v="29.4"/>
    <d v="2024-06-13T00:00:00"/>
    <d v="2024-06-20T00:00:00"/>
    <s v="Sophie"/>
    <x v="23"/>
    <x v="11"/>
  </r>
  <r>
    <d v="2023-11-28T00:00:00"/>
    <x v="2"/>
    <x v="3"/>
    <n v="18"/>
    <n v="174.03"/>
    <s v="Store B"/>
    <s v="Wholesale"/>
    <n v="0.1"/>
    <x v="2"/>
    <n v="2819.2860000000001"/>
    <s v="Online"/>
    <s v="SAVE10"/>
    <n v="0"/>
    <s v="REG100238"/>
    <s v="Cust 5746"/>
    <n v="32.19"/>
    <d v="2023-11-28T00:00:00"/>
    <d v="2023-12-03T00:00:00"/>
    <s v="Ryan"/>
    <x v="15"/>
    <x v="12"/>
  </r>
  <r>
    <d v="2024-11-11T00:00:00"/>
    <x v="3"/>
    <x v="2"/>
    <n v="11"/>
    <n v="286.05"/>
    <s v="Store A"/>
    <s v="Retail"/>
    <n v="0.1"/>
    <x v="5"/>
    <n v="2831.895"/>
    <s v="Debit Card"/>
    <m/>
    <n v="1"/>
    <s v="REG100239"/>
    <s v="Cust 3002"/>
    <n v="8.59"/>
    <d v="2024-11-11T00:00:00"/>
    <d v="2024-11-16T00:00:00"/>
    <s v="Cameron"/>
    <x v="20"/>
    <x v="1"/>
  </r>
  <r>
    <d v="2024-11-04T00:00:00"/>
    <x v="2"/>
    <x v="2"/>
    <n v="16"/>
    <n v="40.729999999999997"/>
    <s v="Store D"/>
    <s v="Retail"/>
    <n v="0"/>
    <x v="1"/>
    <n v="651.67999999999995"/>
    <s v="Credit Card"/>
    <m/>
    <n v="0"/>
    <s v="REG100240"/>
    <s v="Cust 3237"/>
    <n v="24.72"/>
    <d v="2024-11-04T00:00:00"/>
    <d v="2024-11-08T00:00:00"/>
    <s v="Ryan"/>
    <x v="20"/>
    <x v="1"/>
  </r>
  <r>
    <d v="2023-01-01T00:00:00"/>
    <x v="3"/>
    <x v="3"/>
    <n v="11"/>
    <n v="468.22"/>
    <s v="Store D"/>
    <s v="Retail"/>
    <n v="0"/>
    <x v="3"/>
    <n v="5150.42"/>
    <s v="Debit Card"/>
    <s v="WINTER15"/>
    <n v="0"/>
    <s v="REG100241"/>
    <s v="Cust 6437"/>
    <n v="19.920000000000002"/>
    <d v="2023-01-01T00:00:00"/>
    <d v="2023-01-11T00:00:00"/>
    <s v="Cameron"/>
    <x v="6"/>
    <x v="0"/>
  </r>
  <r>
    <d v="2025-01-18T00:00:00"/>
    <x v="2"/>
    <x v="5"/>
    <n v="1"/>
    <n v="411.54"/>
    <s v="Store C"/>
    <s v="Retail"/>
    <n v="0.1"/>
    <x v="0"/>
    <n v="370.38600000000002"/>
    <s v="Gift Card"/>
    <s v="WINTER15"/>
    <n v="0"/>
    <s v="REG100242"/>
    <s v="Cust 8806"/>
    <n v="7.46"/>
    <d v="2025-01-18T00:00:00"/>
    <d v="2025-01-20T00:00:00"/>
    <s v="Ryan"/>
    <x v="12"/>
    <x v="3"/>
  </r>
  <r>
    <d v="2023-05-02T00:00:00"/>
    <x v="3"/>
    <x v="6"/>
    <n v="13"/>
    <n v="134.19999999999999"/>
    <s v="Store A"/>
    <s v="Wholesale"/>
    <n v="0.05"/>
    <x v="0"/>
    <n v="1657.37"/>
    <s v="Credit Card"/>
    <s v="WINTER15"/>
    <n v="0"/>
    <s v="REG100243"/>
    <s v="Cust 8678"/>
    <n v="9.6"/>
    <d v="2023-05-02T00:00:00"/>
    <d v="2023-05-10T00:00:00"/>
    <s v="Cameron"/>
    <x v="2"/>
    <x v="13"/>
  </r>
  <r>
    <d v="2025-05-27T00:00:00"/>
    <x v="4"/>
    <x v="6"/>
    <n v="10"/>
    <n v="351.23"/>
    <s v="Store B"/>
    <s v="Retail"/>
    <n v="0.15"/>
    <x v="2"/>
    <n v="2985.4549999999999"/>
    <s v="Online"/>
    <m/>
    <n v="0"/>
    <s v="REG100244"/>
    <s v="Cust 9649"/>
    <n v="42.74"/>
    <d v="2025-05-27T00:00:00"/>
    <d v="2025-06-02T00:00:00"/>
    <s v="Wendy"/>
    <x v="13"/>
    <x v="10"/>
  </r>
  <r>
    <d v="2024-12-27T00:00:00"/>
    <x v="1"/>
    <x v="4"/>
    <n v="14"/>
    <n v="551.14"/>
    <s v="Store C"/>
    <s v="Wholesale"/>
    <n v="0.1"/>
    <x v="4"/>
    <n v="6944.3639999999996"/>
    <s v="Online"/>
    <s v="FREESHIP"/>
    <n v="1"/>
    <s v="REG100245"/>
    <s v="Cust 1960"/>
    <n v="12.35"/>
    <d v="2024-12-27T00:00:00"/>
    <d v="2025-01-05T00:00:00"/>
    <s v="Sophie"/>
    <x v="1"/>
    <x v="1"/>
  </r>
  <r>
    <d v="2025-03-18T00:00:00"/>
    <x v="4"/>
    <x v="3"/>
    <n v="2"/>
    <n v="131.13"/>
    <s v="Store B"/>
    <s v="Retail"/>
    <n v="0.1"/>
    <x v="0"/>
    <n v="236.03399999999999"/>
    <s v="Debit Card"/>
    <m/>
    <n v="0"/>
    <s v="REG100246"/>
    <s v="Cust 3910"/>
    <n v="14.74"/>
    <d v="2025-03-18T00:00:00"/>
    <d v="2025-03-24T00:00:00"/>
    <s v="Wendy"/>
    <x v="8"/>
    <x v="6"/>
  </r>
  <r>
    <d v="2024-03-24T00:00:00"/>
    <x v="0"/>
    <x v="0"/>
    <n v="6"/>
    <n v="595.11"/>
    <s v="Store C"/>
    <s v="Wholesale"/>
    <n v="0"/>
    <x v="4"/>
    <n v="3570.66"/>
    <s v="Cash"/>
    <s v="SAVE10"/>
    <n v="1"/>
    <s v="REG100247"/>
    <s v="Cust 4944"/>
    <n v="28.92"/>
    <d v="2024-03-24T00:00:00"/>
    <d v="2024-03-31T00:00:00"/>
    <s v="Eric"/>
    <x v="25"/>
    <x v="7"/>
  </r>
  <r>
    <d v="2024-12-26T00:00:00"/>
    <x v="0"/>
    <x v="0"/>
    <n v="6"/>
    <n v="516.66"/>
    <s v="Store C"/>
    <s v="Wholesale"/>
    <n v="0.05"/>
    <x v="5"/>
    <n v="2944.962"/>
    <s v="Online"/>
    <m/>
    <n v="1"/>
    <s v="REG100248"/>
    <s v="Cust 9618"/>
    <n v="5.15"/>
    <d v="2024-12-26T00:00:00"/>
    <d v="2025-01-03T00:00:00"/>
    <s v="Eric"/>
    <x v="1"/>
    <x v="1"/>
  </r>
  <r>
    <d v="2023-01-11T00:00:00"/>
    <x v="2"/>
    <x v="2"/>
    <n v="6"/>
    <n v="202.57"/>
    <s v="Store D"/>
    <s v="Retail"/>
    <n v="0.05"/>
    <x v="0"/>
    <n v="1154.6489999999999"/>
    <s v="Gift Card"/>
    <s v="FREESHIP"/>
    <n v="0"/>
    <s v="REG100249"/>
    <s v="Cust 2279"/>
    <n v="24.39"/>
    <d v="2023-01-11T00:00:00"/>
    <d v="2023-01-14T00:00:00"/>
    <s v="Ryan"/>
    <x v="6"/>
    <x v="0"/>
  </r>
  <r>
    <d v="2025-06-01T00:00:00"/>
    <x v="1"/>
    <x v="0"/>
    <n v="13"/>
    <n v="306.16000000000003"/>
    <s v="Store A"/>
    <s v="Wholesale"/>
    <n v="0.15"/>
    <x v="2"/>
    <n v="3383.0680000000002"/>
    <s v="Cash"/>
    <s v="SAVE10"/>
    <n v="0"/>
    <s v="REG100250"/>
    <s v="Cust 4689"/>
    <n v="25.16"/>
    <d v="2025-06-01T00:00:00"/>
    <d v="2025-06-10T00:00:00"/>
    <s v="Sophie"/>
    <x v="16"/>
    <x v="10"/>
  </r>
  <r>
    <d v="2024-09-26T00:00:00"/>
    <x v="0"/>
    <x v="2"/>
    <n v="11"/>
    <n v="472.74"/>
    <s v="Store D"/>
    <s v="Retail"/>
    <n v="0.15"/>
    <x v="3"/>
    <n v="4420.1190000000006"/>
    <s v="Credit Card"/>
    <m/>
    <n v="1"/>
    <s v="REG100251"/>
    <s v="Cust 7381"/>
    <n v="16.8"/>
    <d v="2024-09-26T00:00:00"/>
    <d v="2024-10-01T00:00:00"/>
    <s v="Eric"/>
    <x v="26"/>
    <x v="5"/>
  </r>
  <r>
    <d v="2024-08-10T00:00:00"/>
    <x v="0"/>
    <x v="1"/>
    <n v="20"/>
    <n v="337.37"/>
    <s v="Store C"/>
    <s v="Retail"/>
    <n v="0.1"/>
    <x v="4"/>
    <n v="6072.66"/>
    <s v="Gift Card"/>
    <m/>
    <n v="0"/>
    <s v="REG100252"/>
    <s v="Cust 2724"/>
    <n v="43.17"/>
    <d v="2024-08-10T00:00:00"/>
    <d v="2024-08-17T00:00:00"/>
    <s v="Eric"/>
    <x v="29"/>
    <x v="8"/>
  </r>
  <r>
    <d v="2025-03-02T00:00:00"/>
    <x v="1"/>
    <x v="1"/>
    <n v="12"/>
    <n v="34.24"/>
    <s v="Store C"/>
    <s v="Retail"/>
    <n v="0.1"/>
    <x v="2"/>
    <n v="369.79199999999997"/>
    <s v="Cash"/>
    <m/>
    <n v="0"/>
    <s v="REG100253"/>
    <s v="Cust 2823"/>
    <n v="17.64"/>
    <d v="2025-03-02T00:00:00"/>
    <d v="2025-03-10T00:00:00"/>
    <s v="Sophie"/>
    <x v="8"/>
    <x v="6"/>
  </r>
  <r>
    <d v="2023-02-21T00:00:00"/>
    <x v="0"/>
    <x v="5"/>
    <n v="4"/>
    <n v="477.05"/>
    <s v="Store B"/>
    <s v="Wholesale"/>
    <n v="0"/>
    <x v="3"/>
    <n v="1908.2"/>
    <s v="Credit Card"/>
    <s v="WINTER15"/>
    <n v="0"/>
    <s v="REG100254"/>
    <s v="Cust 9402"/>
    <n v="45.54"/>
    <d v="2023-02-21T00:00:00"/>
    <d v="2023-03-02T00:00:00"/>
    <s v="Eric"/>
    <x v="0"/>
    <x v="0"/>
  </r>
  <r>
    <d v="2024-11-20T00:00:00"/>
    <x v="0"/>
    <x v="0"/>
    <n v="6"/>
    <n v="562.92999999999995"/>
    <s v="Store C"/>
    <s v="Retail"/>
    <n v="0"/>
    <x v="1"/>
    <n v="3377.58"/>
    <s v="Credit Card"/>
    <s v="WINTER15"/>
    <n v="0"/>
    <s v="REG100255"/>
    <s v="Cust 6561"/>
    <n v="43.73"/>
    <d v="2024-11-20T00:00:00"/>
    <d v="2024-11-27T00:00:00"/>
    <s v="Eric"/>
    <x v="20"/>
    <x v="1"/>
  </r>
  <r>
    <d v="2023-08-26T00:00:00"/>
    <x v="0"/>
    <x v="3"/>
    <n v="20"/>
    <n v="18.29"/>
    <s v="Store B"/>
    <s v="Retail"/>
    <n v="0"/>
    <x v="4"/>
    <n v="365.8"/>
    <s v="Debit Card"/>
    <s v="FREESHIP"/>
    <n v="1"/>
    <s v="REG100256"/>
    <s v="Cust 3116"/>
    <n v="35.369999999999997"/>
    <d v="2023-08-26T00:00:00"/>
    <d v="2023-08-29T00:00:00"/>
    <s v="Eric"/>
    <x v="18"/>
    <x v="9"/>
  </r>
  <r>
    <d v="2024-01-01T00:00:00"/>
    <x v="1"/>
    <x v="4"/>
    <n v="7"/>
    <n v="208.86"/>
    <s v="Store B"/>
    <s v="Retail"/>
    <n v="0"/>
    <x v="2"/>
    <n v="1462.02"/>
    <s v="Cash"/>
    <s v="FREESHIP"/>
    <n v="0"/>
    <s v="REG100257"/>
    <s v="Cust 1015"/>
    <n v="20.64"/>
    <d v="2024-01-01T00:00:00"/>
    <d v="2024-01-08T00:00:00"/>
    <s v="Sophie"/>
    <x v="24"/>
    <x v="15"/>
  </r>
  <r>
    <d v="2024-11-24T00:00:00"/>
    <x v="1"/>
    <x v="6"/>
    <n v="12"/>
    <n v="330.36"/>
    <s v="Store D"/>
    <s v="Retail"/>
    <n v="0.05"/>
    <x v="4"/>
    <n v="3766.1039999999998"/>
    <s v="Cash"/>
    <s v="WINTER15"/>
    <n v="0"/>
    <s v="REG100258"/>
    <s v="Cust 1207"/>
    <n v="48.33"/>
    <d v="2024-11-24T00:00:00"/>
    <d v="2024-11-30T00:00:00"/>
    <s v="Sophie"/>
    <x v="20"/>
    <x v="1"/>
  </r>
  <r>
    <d v="2024-08-25T00:00:00"/>
    <x v="1"/>
    <x v="5"/>
    <n v="7"/>
    <n v="50.26"/>
    <s v="Store C"/>
    <s v="Retail"/>
    <n v="0.15"/>
    <x v="4"/>
    <n v="299.04700000000003"/>
    <s v="Cash"/>
    <m/>
    <n v="0"/>
    <s v="REG100259"/>
    <s v="Cust 2501"/>
    <n v="17.12"/>
    <d v="2024-08-25T00:00:00"/>
    <d v="2024-09-01T00:00:00"/>
    <s v="Sophie"/>
    <x v="29"/>
    <x v="8"/>
  </r>
  <r>
    <d v="2023-06-10T00:00:00"/>
    <x v="1"/>
    <x v="0"/>
    <n v="2"/>
    <n v="374.59"/>
    <s v="Store C"/>
    <s v="Wholesale"/>
    <n v="0.15"/>
    <x v="3"/>
    <n v="636.803"/>
    <s v="Online"/>
    <s v="SAVE10"/>
    <n v="0"/>
    <s v="REG100260"/>
    <s v="Cust 2330"/>
    <n v="34.64"/>
    <d v="2023-06-10T00:00:00"/>
    <d v="2023-06-18T00:00:00"/>
    <s v="Sophie"/>
    <x v="4"/>
    <x v="2"/>
  </r>
  <r>
    <d v="2024-12-18T00:00:00"/>
    <x v="2"/>
    <x v="6"/>
    <n v="7"/>
    <n v="467.6"/>
    <s v="Store A"/>
    <s v="Retail"/>
    <n v="0.1"/>
    <x v="3"/>
    <n v="2945.88"/>
    <s v="Debit Card"/>
    <m/>
    <n v="0"/>
    <s v="REG100261"/>
    <s v="Cust 7436"/>
    <n v="15.64"/>
    <d v="2024-12-18T00:00:00"/>
    <d v="2024-12-26T00:00:00"/>
    <s v="Ryan"/>
    <x v="1"/>
    <x v="1"/>
  </r>
  <r>
    <d v="2023-08-28T00:00:00"/>
    <x v="0"/>
    <x v="3"/>
    <n v="3"/>
    <n v="376.24"/>
    <s v="Store A"/>
    <s v="Retail"/>
    <n v="0.05"/>
    <x v="2"/>
    <n v="1072.2840000000001"/>
    <s v="Debit Card"/>
    <s v="FREESHIP"/>
    <n v="1"/>
    <s v="REG100262"/>
    <s v="Cust 2762"/>
    <n v="6.15"/>
    <d v="2023-08-28T00:00:00"/>
    <d v="2023-09-01T00:00:00"/>
    <s v="Eric"/>
    <x v="18"/>
    <x v="9"/>
  </r>
  <r>
    <d v="2023-01-22T00:00:00"/>
    <x v="4"/>
    <x v="1"/>
    <n v="13"/>
    <n v="140.49"/>
    <s v="Store A"/>
    <s v="Retail"/>
    <n v="0"/>
    <x v="0"/>
    <n v="1826.37"/>
    <s v="Debit Card"/>
    <s v="SAVE10"/>
    <n v="0"/>
    <s v="REG100263"/>
    <s v="Cust 3599"/>
    <n v="17.690000000000001"/>
    <d v="2023-01-22T00:00:00"/>
    <d v="2023-01-31T00:00:00"/>
    <s v="Wendy"/>
    <x v="6"/>
    <x v="0"/>
  </r>
  <r>
    <d v="2023-02-07T00:00:00"/>
    <x v="2"/>
    <x v="4"/>
    <n v="3"/>
    <n v="506.33"/>
    <s v="Store B"/>
    <s v="Retail"/>
    <n v="0.15"/>
    <x v="2"/>
    <n v="1291.1415"/>
    <s v="Debit Card"/>
    <s v="FREESHIP"/>
    <n v="0"/>
    <s v="REG100264"/>
    <s v="Cust 4127"/>
    <n v="25.71"/>
    <d v="2023-02-07T00:00:00"/>
    <d v="2023-02-14T00:00:00"/>
    <s v="Ryan"/>
    <x v="0"/>
    <x v="0"/>
  </r>
  <r>
    <d v="2023-11-22T00:00:00"/>
    <x v="1"/>
    <x v="4"/>
    <n v="8"/>
    <n v="138.72999999999999"/>
    <s v="Store A"/>
    <s v="Wholesale"/>
    <n v="0.05"/>
    <x v="2"/>
    <n v="1054.348"/>
    <s v="Online"/>
    <s v="WINTER15"/>
    <n v="1"/>
    <s v="REG100265"/>
    <s v="Cust 6855"/>
    <n v="48.51"/>
    <d v="2023-11-22T00:00:00"/>
    <d v="2023-11-29T00:00:00"/>
    <s v="Sophie"/>
    <x v="15"/>
    <x v="12"/>
  </r>
  <r>
    <d v="2023-01-25T00:00:00"/>
    <x v="4"/>
    <x v="2"/>
    <n v="6"/>
    <n v="134.53"/>
    <s v="Store C"/>
    <s v="Retail"/>
    <n v="0.15"/>
    <x v="3"/>
    <n v="686.10300000000007"/>
    <s v="Debit Card"/>
    <s v="FREESHIP"/>
    <n v="1"/>
    <s v="REG100266"/>
    <s v="Cust 7017"/>
    <n v="33.5"/>
    <d v="2023-01-25T00:00:00"/>
    <d v="2023-01-29T00:00:00"/>
    <s v="Wendy"/>
    <x v="6"/>
    <x v="0"/>
  </r>
  <r>
    <d v="2025-03-05T00:00:00"/>
    <x v="1"/>
    <x v="5"/>
    <n v="18"/>
    <n v="375.96"/>
    <s v="Store D"/>
    <s v="Wholesale"/>
    <n v="0.05"/>
    <x v="4"/>
    <n v="6428.9159999999993"/>
    <s v="Debit Card"/>
    <s v="SAVE10"/>
    <n v="0"/>
    <s v="REG100267"/>
    <s v="Cust 6957"/>
    <n v="26.78"/>
    <d v="2025-03-05T00:00:00"/>
    <d v="2025-03-09T00:00:00"/>
    <s v="Sophie"/>
    <x v="8"/>
    <x v="6"/>
  </r>
  <r>
    <d v="2023-02-02T00:00:00"/>
    <x v="2"/>
    <x v="6"/>
    <n v="10"/>
    <n v="538.47"/>
    <s v="Store D"/>
    <s v="Retail"/>
    <n v="0.1"/>
    <x v="5"/>
    <n v="4846.2299999999996"/>
    <s v="Gift Card"/>
    <s v="WINTER15"/>
    <n v="1"/>
    <s v="REG100268"/>
    <s v="Cust 9822"/>
    <n v="17.25"/>
    <d v="2023-02-02T00:00:00"/>
    <d v="2023-02-12T00:00:00"/>
    <s v="Ryan"/>
    <x v="0"/>
    <x v="0"/>
  </r>
  <r>
    <d v="2023-05-24T00:00:00"/>
    <x v="2"/>
    <x v="5"/>
    <n v="15"/>
    <n v="505.44"/>
    <s v="Store A"/>
    <s v="Wholesale"/>
    <n v="0.1"/>
    <x v="1"/>
    <n v="6823.4400000000014"/>
    <s v="Online"/>
    <s v="SAVE10"/>
    <n v="0"/>
    <s v="REG100269"/>
    <s v="Cust 7425"/>
    <n v="37.5"/>
    <d v="2023-05-24T00:00:00"/>
    <d v="2023-06-01T00:00:00"/>
    <s v="Ryan"/>
    <x v="2"/>
    <x v="2"/>
  </r>
  <r>
    <d v="2024-05-30T00:00:00"/>
    <x v="1"/>
    <x v="6"/>
    <n v="4"/>
    <n v="312.08999999999997"/>
    <s v="Store C"/>
    <s v="Wholesale"/>
    <n v="0.15"/>
    <x v="4"/>
    <n v="1061.106"/>
    <s v="Debit Card"/>
    <s v="SAVE10"/>
    <n v="1"/>
    <s v="REG100270"/>
    <s v="Cust 6468"/>
    <n v="17.989999999999998"/>
    <d v="2024-05-30T00:00:00"/>
    <d v="2024-06-06T00:00:00"/>
    <s v="Sophie"/>
    <x v="14"/>
    <x v="11"/>
  </r>
  <r>
    <d v="2024-01-23T00:00:00"/>
    <x v="4"/>
    <x v="2"/>
    <n v="15"/>
    <n v="579.58000000000004"/>
    <s v="Store C"/>
    <s v="Retail"/>
    <n v="0.15"/>
    <x v="0"/>
    <n v="7389.6450000000004"/>
    <s v="Credit Card"/>
    <m/>
    <n v="0"/>
    <s v="REG100271"/>
    <s v="Cust 8897"/>
    <n v="31.22"/>
    <d v="2024-01-23T00:00:00"/>
    <d v="2024-01-31T00:00:00"/>
    <s v="Wendy"/>
    <x v="24"/>
    <x v="4"/>
  </r>
  <r>
    <d v="2023-02-06T00:00:00"/>
    <x v="2"/>
    <x v="3"/>
    <n v="10"/>
    <n v="217.43"/>
    <s v="Store A"/>
    <s v="Retail"/>
    <n v="0.15"/>
    <x v="5"/>
    <n v="1848.155"/>
    <s v="Credit Card"/>
    <s v="FREESHIP"/>
    <n v="0"/>
    <s v="REG100272"/>
    <s v="Cust 9816"/>
    <n v="33.14"/>
    <d v="2023-02-06T00:00:00"/>
    <d v="2023-02-15T00:00:00"/>
    <s v="Ryan"/>
    <x v="0"/>
    <x v="0"/>
  </r>
  <r>
    <d v="2024-07-15T00:00:00"/>
    <x v="4"/>
    <x v="1"/>
    <n v="15"/>
    <n v="476.15"/>
    <s v="Store B"/>
    <s v="Wholesale"/>
    <n v="0.05"/>
    <x v="3"/>
    <n v="6785.1374999999998"/>
    <s v="Online"/>
    <s v="SAVE10"/>
    <n v="0"/>
    <s v="REG100273"/>
    <s v="Cust 8227"/>
    <n v="24.48"/>
    <d v="2024-07-15T00:00:00"/>
    <d v="2024-07-19T00:00:00"/>
    <s v="Wendy"/>
    <x v="10"/>
    <x v="8"/>
  </r>
  <r>
    <d v="2025-03-06T00:00:00"/>
    <x v="0"/>
    <x v="3"/>
    <n v="5"/>
    <n v="89.03"/>
    <s v="Store C"/>
    <s v="Wholesale"/>
    <n v="0.1"/>
    <x v="2"/>
    <n v="400.63499999999999"/>
    <s v="Debit Card"/>
    <s v="WINTER15"/>
    <n v="0"/>
    <s v="REG100274"/>
    <s v="Cust 4990"/>
    <n v="22.42"/>
    <d v="2025-03-06T00:00:00"/>
    <d v="2025-03-16T00:00:00"/>
    <s v="Eric"/>
    <x v="8"/>
    <x v="6"/>
  </r>
  <r>
    <d v="2023-07-29T00:00:00"/>
    <x v="3"/>
    <x v="1"/>
    <n v="17"/>
    <n v="6.88"/>
    <s v="Store A"/>
    <s v="Retail"/>
    <n v="0.1"/>
    <x v="2"/>
    <n v="105.264"/>
    <s v="Gift Card"/>
    <m/>
    <n v="0"/>
    <s v="REG100275"/>
    <s v="Cust 5834"/>
    <n v="42.37"/>
    <d v="2023-07-29T00:00:00"/>
    <d v="2023-08-08T00:00:00"/>
    <s v="Cameron"/>
    <x v="11"/>
    <x v="9"/>
  </r>
  <r>
    <d v="2023-07-26T00:00:00"/>
    <x v="2"/>
    <x v="6"/>
    <n v="6"/>
    <n v="355.26"/>
    <s v="Store D"/>
    <s v="Retail"/>
    <n v="0.1"/>
    <x v="5"/>
    <n v="1918.404"/>
    <s v="Online"/>
    <s v="WINTER15"/>
    <n v="0"/>
    <s v="REG100276"/>
    <s v="Cust 7330"/>
    <n v="30.49"/>
    <d v="2023-07-26T00:00:00"/>
    <d v="2023-07-29T00:00:00"/>
    <s v="Ryan"/>
    <x v="11"/>
    <x v="9"/>
  </r>
  <r>
    <d v="2024-04-10T00:00:00"/>
    <x v="4"/>
    <x v="5"/>
    <n v="8"/>
    <n v="294.76"/>
    <s v="Store C"/>
    <s v="Retail"/>
    <n v="0.1"/>
    <x v="4"/>
    <n v="2122.2719999999999"/>
    <s v="Online"/>
    <s v="SAVE10"/>
    <n v="0"/>
    <s v="REG100277"/>
    <s v="Cust 5273"/>
    <n v="36.04"/>
    <d v="2024-04-10T00:00:00"/>
    <d v="2024-04-13T00:00:00"/>
    <s v="Wendy"/>
    <x v="9"/>
    <x v="7"/>
  </r>
  <r>
    <d v="2025-01-24T00:00:00"/>
    <x v="2"/>
    <x v="2"/>
    <n v="16"/>
    <n v="60.69"/>
    <s v="Store A"/>
    <s v="Wholesale"/>
    <n v="0"/>
    <x v="3"/>
    <n v="971.04"/>
    <s v="Credit Card"/>
    <s v="WINTER15"/>
    <n v="0"/>
    <s v="REG100278"/>
    <s v="Cust 6138"/>
    <n v="7.03"/>
    <d v="2025-01-24T00:00:00"/>
    <d v="2025-01-27T00:00:00"/>
    <s v="Ryan"/>
    <x v="12"/>
    <x v="3"/>
  </r>
  <r>
    <d v="2025-04-27T00:00:00"/>
    <x v="4"/>
    <x v="0"/>
    <n v="2"/>
    <n v="559.63"/>
    <s v="Store B"/>
    <s v="Wholesale"/>
    <n v="0.1"/>
    <x v="4"/>
    <n v="1007.3339999999999"/>
    <s v="Credit Card"/>
    <s v="WINTER15"/>
    <n v="1"/>
    <s v="REG100279"/>
    <s v="Cust 2084"/>
    <n v="42.34"/>
    <d v="2025-04-27T00:00:00"/>
    <d v="2025-05-03T00:00:00"/>
    <s v="Wendy"/>
    <x v="28"/>
    <x v="6"/>
  </r>
  <r>
    <d v="2025-02-20T00:00:00"/>
    <x v="0"/>
    <x v="1"/>
    <n v="4"/>
    <n v="232.66"/>
    <s v="Store B"/>
    <s v="Wholesale"/>
    <n v="0.1"/>
    <x v="2"/>
    <n v="837.57600000000002"/>
    <s v="Online"/>
    <s v="WINTER15"/>
    <n v="0"/>
    <s v="REG100280"/>
    <s v="Cust 2799"/>
    <n v="11.88"/>
    <d v="2025-02-20T00:00:00"/>
    <d v="2025-02-23T00:00:00"/>
    <s v="Eric"/>
    <x v="3"/>
    <x v="3"/>
  </r>
  <r>
    <d v="2023-09-14T00:00:00"/>
    <x v="2"/>
    <x v="6"/>
    <n v="10"/>
    <n v="230.87"/>
    <s v="Store A"/>
    <s v="Retail"/>
    <n v="0.15"/>
    <x v="5"/>
    <n v="1962.395"/>
    <s v="Debit Card"/>
    <s v="SAVE10"/>
    <n v="0"/>
    <s v="REG100281"/>
    <s v="Cust 5234"/>
    <n v="28.33"/>
    <d v="2023-09-14T00:00:00"/>
    <d v="2023-09-19T00:00:00"/>
    <s v="Ryan"/>
    <x v="22"/>
    <x v="14"/>
  </r>
  <r>
    <d v="2024-04-17T00:00:00"/>
    <x v="4"/>
    <x v="5"/>
    <n v="7"/>
    <n v="353.9"/>
    <s v="Store C"/>
    <s v="Wholesale"/>
    <n v="0.15"/>
    <x v="1"/>
    <n v="2105.7049999999999"/>
    <s v="Debit Card"/>
    <s v="SAVE10"/>
    <n v="1"/>
    <s v="REG100282"/>
    <s v="Cust 3051"/>
    <n v="15.74"/>
    <d v="2024-04-17T00:00:00"/>
    <d v="2024-04-27T00:00:00"/>
    <s v="Wendy"/>
    <x v="9"/>
    <x v="7"/>
  </r>
  <r>
    <d v="2024-11-14T00:00:00"/>
    <x v="3"/>
    <x v="5"/>
    <n v="12"/>
    <n v="561.07000000000005"/>
    <s v="Store A"/>
    <s v="Retail"/>
    <n v="0"/>
    <x v="1"/>
    <n v="6732.84"/>
    <s v="Gift Card"/>
    <m/>
    <n v="0"/>
    <s v="REG100283"/>
    <s v="Cust 5456"/>
    <n v="35.020000000000003"/>
    <d v="2024-11-14T00:00:00"/>
    <d v="2024-11-18T00:00:00"/>
    <s v="Cameron"/>
    <x v="20"/>
    <x v="1"/>
  </r>
  <r>
    <d v="2024-07-25T00:00:00"/>
    <x v="2"/>
    <x v="3"/>
    <n v="15"/>
    <n v="247.21"/>
    <s v="Store D"/>
    <s v="Wholesale"/>
    <n v="0.1"/>
    <x v="5"/>
    <n v="3337.335"/>
    <s v="Gift Card"/>
    <m/>
    <n v="0"/>
    <s v="REG100284"/>
    <s v="Cust 6029"/>
    <n v="45.42"/>
    <d v="2024-07-25T00:00:00"/>
    <d v="2024-07-27T00:00:00"/>
    <s v="Ryan"/>
    <x v="10"/>
    <x v="8"/>
  </r>
  <r>
    <d v="2024-08-05T00:00:00"/>
    <x v="0"/>
    <x v="1"/>
    <n v="19"/>
    <n v="271.22000000000003"/>
    <s v="Store A"/>
    <s v="Wholesale"/>
    <n v="0.1"/>
    <x v="1"/>
    <n v="4637.8620000000001"/>
    <s v="Credit Card"/>
    <s v="WINTER15"/>
    <n v="0"/>
    <s v="REG100285"/>
    <s v="Cust 4002"/>
    <n v="35.33"/>
    <d v="2024-08-05T00:00:00"/>
    <d v="2024-08-15T00:00:00"/>
    <s v="Eric"/>
    <x v="29"/>
    <x v="8"/>
  </r>
  <r>
    <d v="2025-01-23T00:00:00"/>
    <x v="4"/>
    <x v="0"/>
    <n v="6"/>
    <n v="532.54"/>
    <s v="Store A"/>
    <s v="Wholesale"/>
    <n v="0"/>
    <x v="4"/>
    <n v="3195.24"/>
    <s v="Debit Card"/>
    <m/>
    <n v="1"/>
    <s v="REG100286"/>
    <s v="Cust 5830"/>
    <n v="25.09"/>
    <d v="2025-01-23T00:00:00"/>
    <d v="2025-02-02T00:00:00"/>
    <s v="Wendy"/>
    <x v="12"/>
    <x v="3"/>
  </r>
  <r>
    <d v="2025-04-27T00:00:00"/>
    <x v="4"/>
    <x v="6"/>
    <n v="16"/>
    <n v="329.54"/>
    <s v="Store A"/>
    <s v="Wholesale"/>
    <n v="0.15"/>
    <x v="5"/>
    <n v="4481.7440000000006"/>
    <s v="Debit Card"/>
    <s v="FREESHIP"/>
    <n v="1"/>
    <s v="REG100287"/>
    <s v="Cust 8088"/>
    <n v="39.39"/>
    <d v="2025-04-27T00:00:00"/>
    <d v="2025-05-03T00:00:00"/>
    <s v="Wendy"/>
    <x v="28"/>
    <x v="6"/>
  </r>
  <r>
    <d v="2024-09-20T00:00:00"/>
    <x v="1"/>
    <x v="1"/>
    <n v="6"/>
    <n v="170.1"/>
    <s v="Store A"/>
    <s v="Retail"/>
    <n v="0"/>
    <x v="0"/>
    <n v="1020.6"/>
    <s v="Gift Card"/>
    <s v="FREESHIP"/>
    <n v="0"/>
    <s v="REG100288"/>
    <s v="Cust 6455"/>
    <n v="38.61"/>
    <d v="2024-09-20T00:00:00"/>
    <d v="2024-09-23T00:00:00"/>
    <s v="Sophie"/>
    <x v="26"/>
    <x v="5"/>
  </r>
  <r>
    <d v="2023-09-08T00:00:00"/>
    <x v="4"/>
    <x v="0"/>
    <n v="19"/>
    <n v="212.83"/>
    <s v="Store D"/>
    <s v="Wholesale"/>
    <n v="0.15"/>
    <x v="3"/>
    <n v="3437.2044999999998"/>
    <s v="Online"/>
    <s v="WINTER15"/>
    <n v="0"/>
    <s v="REG100289"/>
    <s v="Cust 4117"/>
    <n v="42.88"/>
    <d v="2023-09-08T00:00:00"/>
    <d v="2023-09-15T00:00:00"/>
    <s v="Wendy"/>
    <x v="22"/>
    <x v="14"/>
  </r>
  <r>
    <d v="2025-04-20T00:00:00"/>
    <x v="1"/>
    <x v="0"/>
    <n v="5"/>
    <n v="578.91999999999996"/>
    <s v="Store A"/>
    <s v="Wholesale"/>
    <n v="0"/>
    <x v="5"/>
    <n v="2894.6"/>
    <s v="Credit Card"/>
    <m/>
    <n v="1"/>
    <s v="REG100290"/>
    <s v="Cust 1385"/>
    <n v="44.09"/>
    <d v="2025-04-20T00:00:00"/>
    <d v="2025-04-28T00:00:00"/>
    <s v="Sophie"/>
    <x v="28"/>
    <x v="6"/>
  </r>
  <r>
    <d v="2024-06-20T00:00:00"/>
    <x v="2"/>
    <x v="1"/>
    <n v="3"/>
    <n v="456.92"/>
    <s v="Store C"/>
    <s v="Retail"/>
    <n v="0.1"/>
    <x v="2"/>
    <n v="1233.684"/>
    <s v="Gift Card"/>
    <s v="FREESHIP"/>
    <n v="0"/>
    <s v="REG100291"/>
    <s v="Cust 5185"/>
    <n v="17.57"/>
    <d v="2024-06-20T00:00:00"/>
    <d v="2024-06-27T00:00:00"/>
    <s v="Ryan"/>
    <x v="23"/>
    <x v="11"/>
  </r>
  <r>
    <d v="2023-01-11T00:00:00"/>
    <x v="0"/>
    <x v="5"/>
    <n v="12"/>
    <n v="521.53"/>
    <s v="Store D"/>
    <s v="Retail"/>
    <n v="0"/>
    <x v="0"/>
    <n v="6258.36"/>
    <s v="Credit Card"/>
    <s v="SAVE10"/>
    <n v="1"/>
    <s v="REG100292"/>
    <s v="Cust 8704"/>
    <n v="49.59"/>
    <d v="2023-01-11T00:00:00"/>
    <d v="2023-01-20T00:00:00"/>
    <s v="Eric"/>
    <x v="6"/>
    <x v="0"/>
  </r>
  <r>
    <d v="2023-07-04T00:00:00"/>
    <x v="2"/>
    <x v="2"/>
    <n v="17"/>
    <n v="468.19"/>
    <s v="Store D"/>
    <s v="Retail"/>
    <n v="0.05"/>
    <x v="4"/>
    <n v="7561.2684999999992"/>
    <s v="Cash"/>
    <m/>
    <n v="0"/>
    <s v="REG100293"/>
    <s v="Cust 3528"/>
    <n v="13.84"/>
    <d v="2023-07-04T00:00:00"/>
    <d v="2023-07-07T00:00:00"/>
    <s v="Ryan"/>
    <x v="11"/>
    <x v="9"/>
  </r>
  <r>
    <d v="2025-03-08T00:00:00"/>
    <x v="3"/>
    <x v="4"/>
    <n v="9"/>
    <n v="8.81"/>
    <s v="Store D"/>
    <s v="Retail"/>
    <n v="0.15"/>
    <x v="1"/>
    <n v="67.396500000000003"/>
    <s v="Online"/>
    <s v="SAVE10"/>
    <n v="0"/>
    <s v="REG100294"/>
    <s v="Cust 3907"/>
    <n v="42.7"/>
    <d v="2025-03-08T00:00:00"/>
    <d v="2025-03-18T00:00:00"/>
    <s v="Cameron"/>
    <x v="8"/>
    <x v="6"/>
  </r>
  <r>
    <d v="2025-02-10T00:00:00"/>
    <x v="1"/>
    <x v="3"/>
    <n v="6"/>
    <n v="521.1"/>
    <s v="Store A"/>
    <s v="Wholesale"/>
    <n v="0.15"/>
    <x v="2"/>
    <n v="2657.61"/>
    <s v="Cash"/>
    <m/>
    <n v="0"/>
    <s v="REG100295"/>
    <s v="Cust 9005"/>
    <n v="31.14"/>
    <d v="2025-02-10T00:00:00"/>
    <d v="2025-02-12T00:00:00"/>
    <s v="Sophie"/>
    <x v="3"/>
    <x v="3"/>
  </r>
  <r>
    <d v="2025-03-17T00:00:00"/>
    <x v="4"/>
    <x v="4"/>
    <n v="10"/>
    <n v="289.91000000000003"/>
    <s v="Store C"/>
    <s v="Retail"/>
    <n v="0.1"/>
    <x v="4"/>
    <n v="2609.190000000001"/>
    <s v="Cash"/>
    <s v="SAVE10"/>
    <n v="0"/>
    <s v="REG100296"/>
    <s v="Cust 3635"/>
    <n v="32.96"/>
    <d v="2025-03-17T00:00:00"/>
    <d v="2025-03-21T00:00:00"/>
    <s v="Wendy"/>
    <x v="8"/>
    <x v="6"/>
  </r>
  <r>
    <d v="2023-11-09T00:00:00"/>
    <x v="0"/>
    <x v="6"/>
    <n v="3"/>
    <n v="142.27000000000001"/>
    <s v="Store D"/>
    <s v="Retail"/>
    <n v="0.05"/>
    <x v="5"/>
    <n v="405.46949999999998"/>
    <s v="Online"/>
    <s v="SAVE10"/>
    <n v="0"/>
    <s v="REG100297"/>
    <s v="Cust 2122"/>
    <n v="32.799999999999997"/>
    <d v="2023-11-09T00:00:00"/>
    <d v="2023-11-15T00:00:00"/>
    <s v="Eric"/>
    <x v="15"/>
    <x v="12"/>
  </r>
  <r>
    <d v="2023-11-30T00:00:00"/>
    <x v="3"/>
    <x v="6"/>
    <n v="15"/>
    <n v="354.09"/>
    <s v="Store B"/>
    <s v="Retail"/>
    <n v="0.05"/>
    <x v="3"/>
    <n v="5045.7824999999993"/>
    <s v="Online"/>
    <m/>
    <n v="1"/>
    <s v="REG100298"/>
    <s v="Cust 4467"/>
    <n v="25.3"/>
    <d v="2023-11-30T00:00:00"/>
    <d v="2023-12-08T00:00:00"/>
    <s v="Cameron"/>
    <x v="15"/>
    <x v="12"/>
  </r>
  <r>
    <d v="2024-08-15T00:00:00"/>
    <x v="1"/>
    <x v="5"/>
    <n v="20"/>
    <n v="358.57"/>
    <s v="Store B"/>
    <s v="Wholesale"/>
    <n v="0"/>
    <x v="1"/>
    <n v="7171.4"/>
    <s v="Debit Card"/>
    <s v="FREESHIP"/>
    <n v="1"/>
    <s v="REG100299"/>
    <s v="Cust 6146"/>
    <n v="21.11"/>
    <d v="2024-08-15T00:00:00"/>
    <d v="2024-08-20T00:00:00"/>
    <s v="Sophie"/>
    <x v="29"/>
    <x v="8"/>
  </r>
  <r>
    <d v="2023-03-21T00:00:00"/>
    <x v="4"/>
    <x v="5"/>
    <n v="16"/>
    <n v="33.18"/>
    <s v="Store C"/>
    <s v="Retail"/>
    <n v="0.05"/>
    <x v="0"/>
    <n v="504.33600000000001"/>
    <s v="Online"/>
    <s v="SAVE10"/>
    <n v="0"/>
    <s v="REG100300"/>
    <s v="Cust 4001"/>
    <n v="22.94"/>
    <d v="2023-03-21T00:00:00"/>
    <d v="2023-03-26T00:00:00"/>
    <s v="Wendy"/>
    <x v="17"/>
    <x v="13"/>
  </r>
  <r>
    <d v="2023-10-26T00:00:00"/>
    <x v="4"/>
    <x v="4"/>
    <n v="2"/>
    <n v="124.4"/>
    <s v="Store B"/>
    <s v="Retail"/>
    <n v="0"/>
    <x v="0"/>
    <n v="248.8"/>
    <s v="Online"/>
    <m/>
    <n v="0"/>
    <s v="REG100301"/>
    <s v="Cust 3365"/>
    <n v="37.049999999999997"/>
    <d v="2023-10-26T00:00:00"/>
    <d v="2023-10-31T00:00:00"/>
    <s v="Wendy"/>
    <x v="19"/>
    <x v="14"/>
  </r>
  <r>
    <d v="2023-11-03T00:00:00"/>
    <x v="4"/>
    <x v="1"/>
    <n v="12"/>
    <n v="17.760000000000002"/>
    <s v="Store D"/>
    <s v="Retail"/>
    <n v="0.1"/>
    <x v="3"/>
    <n v="191.80799999999999"/>
    <s v="Online"/>
    <s v="FREESHIP"/>
    <n v="0"/>
    <s v="REG100302"/>
    <s v="Cust 2194"/>
    <n v="12.18"/>
    <d v="2023-11-03T00:00:00"/>
    <d v="2023-11-11T00:00:00"/>
    <s v="Wendy"/>
    <x v="15"/>
    <x v="12"/>
  </r>
  <r>
    <d v="2025-01-30T00:00:00"/>
    <x v="2"/>
    <x v="3"/>
    <n v="16"/>
    <n v="345.53"/>
    <s v="Store C"/>
    <s v="Retail"/>
    <n v="0.15"/>
    <x v="2"/>
    <n v="4699.2079999999996"/>
    <s v="Gift Card"/>
    <s v="SAVE10"/>
    <n v="0"/>
    <s v="REG100303"/>
    <s v="Cust 7942"/>
    <n v="13.43"/>
    <d v="2025-01-30T00:00:00"/>
    <d v="2025-02-05T00:00:00"/>
    <s v="Ryan"/>
    <x v="12"/>
    <x v="3"/>
  </r>
  <r>
    <d v="2024-01-25T00:00:00"/>
    <x v="4"/>
    <x v="0"/>
    <n v="13"/>
    <n v="453.48"/>
    <s v="Store A"/>
    <s v="Wholesale"/>
    <n v="0.05"/>
    <x v="1"/>
    <n v="5600.4779999999992"/>
    <s v="Gift Card"/>
    <s v="SAVE10"/>
    <n v="0"/>
    <s v="REG100304"/>
    <s v="Cust 8451"/>
    <n v="46.28"/>
    <d v="2024-01-25T00:00:00"/>
    <d v="2024-02-03T00:00:00"/>
    <s v="Wendy"/>
    <x v="24"/>
    <x v="4"/>
  </r>
  <r>
    <d v="2025-03-29T00:00:00"/>
    <x v="1"/>
    <x v="0"/>
    <n v="10"/>
    <n v="277.74"/>
    <s v="Store B"/>
    <s v="Retail"/>
    <n v="0.15"/>
    <x v="3"/>
    <n v="2360.79"/>
    <s v="Gift Card"/>
    <s v="SAVE10"/>
    <n v="1"/>
    <s v="REG100305"/>
    <s v="Cust 4238"/>
    <n v="35.020000000000003"/>
    <d v="2025-03-29T00:00:00"/>
    <d v="2025-04-02T00:00:00"/>
    <s v="Sophie"/>
    <x v="8"/>
    <x v="6"/>
  </r>
  <r>
    <d v="2024-11-02T00:00:00"/>
    <x v="3"/>
    <x v="3"/>
    <n v="16"/>
    <n v="89.76"/>
    <s v="Store A"/>
    <s v="Wholesale"/>
    <n v="0"/>
    <x v="1"/>
    <n v="1436.16"/>
    <s v="Debit Card"/>
    <s v="WINTER15"/>
    <n v="1"/>
    <s v="REG100306"/>
    <s v="Cust 2529"/>
    <n v="44.69"/>
    <d v="2024-11-02T00:00:00"/>
    <d v="2024-11-09T00:00:00"/>
    <s v="Cameron"/>
    <x v="20"/>
    <x v="1"/>
  </r>
  <r>
    <d v="2024-06-30T00:00:00"/>
    <x v="3"/>
    <x v="3"/>
    <n v="11"/>
    <n v="535.37"/>
    <s v="Store D"/>
    <s v="Wholesale"/>
    <n v="0"/>
    <x v="2"/>
    <n v="5889.07"/>
    <s v="Cash"/>
    <m/>
    <n v="0"/>
    <s v="REG100307"/>
    <s v="Cust 7057"/>
    <n v="35.96"/>
    <d v="2024-06-30T00:00:00"/>
    <d v="2024-07-09T00:00:00"/>
    <s v="Cameron"/>
    <x v="23"/>
    <x v="11"/>
  </r>
  <r>
    <d v="2023-01-11T00:00:00"/>
    <x v="1"/>
    <x v="5"/>
    <n v="9"/>
    <n v="15.58"/>
    <s v="Store D"/>
    <s v="Retail"/>
    <n v="0.1"/>
    <x v="2"/>
    <n v="126.19799999999999"/>
    <s v="Gift Card"/>
    <s v="FREESHIP"/>
    <n v="1"/>
    <s v="REG100308"/>
    <s v="Cust 9069"/>
    <n v="27.81"/>
    <d v="2023-01-11T00:00:00"/>
    <d v="2023-01-19T00:00:00"/>
    <s v="Sophie"/>
    <x v="6"/>
    <x v="0"/>
  </r>
  <r>
    <d v="2025-06-05T00:00:00"/>
    <x v="2"/>
    <x v="2"/>
    <n v="13"/>
    <n v="466.54"/>
    <s v="Store C"/>
    <s v="Wholesale"/>
    <n v="0"/>
    <x v="0"/>
    <n v="6065.02"/>
    <s v="Cash"/>
    <s v="FREESHIP"/>
    <n v="0"/>
    <s v="REG100309"/>
    <s v="Cust 5858"/>
    <n v="18.63"/>
    <d v="2025-06-05T00:00:00"/>
    <d v="2025-06-14T00:00:00"/>
    <s v="Ryan"/>
    <x v="16"/>
    <x v="10"/>
  </r>
  <r>
    <d v="2024-03-21T00:00:00"/>
    <x v="2"/>
    <x v="4"/>
    <n v="16"/>
    <n v="593"/>
    <s v="Store D"/>
    <s v="Retail"/>
    <n v="0.1"/>
    <x v="0"/>
    <n v="8539.2000000000007"/>
    <s v="Gift Card"/>
    <s v="SAVE10"/>
    <n v="0"/>
    <s v="REG100310"/>
    <s v="Cust 2712"/>
    <n v="18.77"/>
    <d v="2024-03-21T00:00:00"/>
    <d v="2024-03-24T00:00:00"/>
    <s v="Ryan"/>
    <x v="25"/>
    <x v="7"/>
  </r>
  <r>
    <d v="2023-08-31T00:00:00"/>
    <x v="1"/>
    <x v="2"/>
    <n v="6"/>
    <n v="567.36"/>
    <s v="Store C"/>
    <s v="Wholesale"/>
    <n v="0.05"/>
    <x v="1"/>
    <n v="3233.9520000000002"/>
    <s v="Gift Card"/>
    <s v="WINTER15"/>
    <n v="0"/>
    <s v="REG100311"/>
    <s v="Cust 7052"/>
    <n v="45.98"/>
    <d v="2023-08-31T00:00:00"/>
    <d v="2023-09-08T00:00:00"/>
    <s v="Sophie"/>
    <x v="18"/>
    <x v="9"/>
  </r>
  <r>
    <d v="2024-10-07T00:00:00"/>
    <x v="1"/>
    <x v="1"/>
    <n v="17"/>
    <n v="523.04"/>
    <s v="Store A"/>
    <s v="Retail"/>
    <n v="0.05"/>
    <x v="0"/>
    <n v="8447.0959999999995"/>
    <s v="Debit Card"/>
    <s v="FREESHIP"/>
    <n v="0"/>
    <s v="REG100312"/>
    <s v="Cust 9397"/>
    <n v="37.380000000000003"/>
    <d v="2024-10-07T00:00:00"/>
    <d v="2024-10-17T00:00:00"/>
    <s v="Sophie"/>
    <x v="7"/>
    <x v="5"/>
  </r>
  <r>
    <d v="2023-04-12T00:00:00"/>
    <x v="2"/>
    <x v="0"/>
    <n v="17"/>
    <n v="376.4"/>
    <s v="Store C"/>
    <s v="Wholesale"/>
    <n v="0"/>
    <x v="1"/>
    <n v="6398.7999999999993"/>
    <s v="Debit Card"/>
    <s v="FREESHIP"/>
    <n v="0"/>
    <s v="REG100313"/>
    <s v="Cust 4614"/>
    <n v="33.380000000000003"/>
    <d v="2023-04-12T00:00:00"/>
    <d v="2023-04-15T00:00:00"/>
    <s v="Ryan"/>
    <x v="21"/>
    <x v="13"/>
  </r>
  <r>
    <d v="2023-11-06T00:00:00"/>
    <x v="1"/>
    <x v="6"/>
    <n v="5"/>
    <n v="95.19"/>
    <s v="Store A"/>
    <s v="Retail"/>
    <n v="0.15"/>
    <x v="2"/>
    <n v="404.5575"/>
    <s v="Credit Card"/>
    <s v="WINTER15"/>
    <n v="0"/>
    <s v="REG100314"/>
    <s v="Cust 1573"/>
    <n v="48.55"/>
    <d v="2023-11-06T00:00:00"/>
    <d v="2023-11-16T00:00:00"/>
    <s v="Sophie"/>
    <x v="15"/>
    <x v="12"/>
  </r>
  <r>
    <d v="2023-04-28T00:00:00"/>
    <x v="4"/>
    <x v="2"/>
    <n v="2"/>
    <n v="210.71"/>
    <s v="Store D"/>
    <s v="Wholesale"/>
    <n v="0.15"/>
    <x v="4"/>
    <n v="358.20699999999999"/>
    <s v="Credit Card"/>
    <s v="SAVE10"/>
    <n v="0"/>
    <s v="REG100315"/>
    <s v="Cust 5660"/>
    <n v="7.78"/>
    <d v="2023-04-28T00:00:00"/>
    <d v="2023-05-08T00:00:00"/>
    <s v="Wendy"/>
    <x v="21"/>
    <x v="13"/>
  </r>
  <r>
    <d v="2023-12-18T00:00:00"/>
    <x v="4"/>
    <x v="6"/>
    <n v="7"/>
    <n v="393.39"/>
    <s v="Store B"/>
    <s v="Retail"/>
    <n v="0.1"/>
    <x v="1"/>
    <n v="2478.357"/>
    <s v="Cash"/>
    <s v="SAVE10"/>
    <n v="0"/>
    <s v="REG100316"/>
    <s v="Cust 3952"/>
    <n v="34.35"/>
    <d v="2023-12-18T00:00:00"/>
    <d v="2023-12-21T00:00:00"/>
    <s v="Wendy"/>
    <x v="27"/>
    <x v="12"/>
  </r>
  <r>
    <d v="2024-10-10T00:00:00"/>
    <x v="1"/>
    <x v="1"/>
    <n v="13"/>
    <n v="114.03"/>
    <s v="Store A"/>
    <s v="Retail"/>
    <n v="0"/>
    <x v="5"/>
    <n v="1482.39"/>
    <s v="Cash"/>
    <m/>
    <n v="0"/>
    <s v="REG100317"/>
    <s v="Cust 5407"/>
    <n v="43.81"/>
    <d v="2024-10-10T00:00:00"/>
    <d v="2024-10-16T00:00:00"/>
    <s v="Sophie"/>
    <x v="7"/>
    <x v="5"/>
  </r>
  <r>
    <d v="2023-02-05T00:00:00"/>
    <x v="2"/>
    <x v="5"/>
    <n v="18"/>
    <n v="336.48"/>
    <s v="Store B"/>
    <s v="Retail"/>
    <n v="0"/>
    <x v="2"/>
    <n v="6056.64"/>
    <s v="Online"/>
    <s v="WINTER15"/>
    <n v="0"/>
    <s v="REG100318"/>
    <s v="Cust 9595"/>
    <n v="18.59"/>
    <d v="2023-02-05T00:00:00"/>
    <d v="2023-02-07T00:00:00"/>
    <s v="Ryan"/>
    <x v="0"/>
    <x v="0"/>
  </r>
  <r>
    <d v="2024-08-04T00:00:00"/>
    <x v="3"/>
    <x v="4"/>
    <n v="9"/>
    <n v="24.44"/>
    <s v="Store C"/>
    <s v="Wholesale"/>
    <n v="0.15"/>
    <x v="0"/>
    <n v="186.96600000000001"/>
    <s v="Gift Card"/>
    <s v="SAVE10"/>
    <n v="1"/>
    <s v="REG100319"/>
    <s v="Cust 3245"/>
    <n v="22.06"/>
    <d v="2024-08-04T00:00:00"/>
    <d v="2024-08-14T00:00:00"/>
    <s v="Cameron"/>
    <x v="29"/>
    <x v="8"/>
  </r>
  <r>
    <d v="2024-10-23T00:00:00"/>
    <x v="3"/>
    <x v="5"/>
    <n v="12"/>
    <n v="352.2"/>
    <s v="Store A"/>
    <s v="Retail"/>
    <n v="0.05"/>
    <x v="0"/>
    <n v="4015.079999999999"/>
    <s v="Credit Card"/>
    <s v="WINTER15"/>
    <n v="0"/>
    <s v="REG100320"/>
    <s v="Cust 7180"/>
    <n v="18.39"/>
    <d v="2024-10-23T00:00:00"/>
    <d v="2024-11-01T00:00:00"/>
    <s v="Cameron"/>
    <x v="7"/>
    <x v="5"/>
  </r>
  <r>
    <d v="2024-02-13T00:00:00"/>
    <x v="4"/>
    <x v="4"/>
    <n v="7"/>
    <n v="353.99"/>
    <s v="Store C"/>
    <s v="Wholesale"/>
    <n v="0.05"/>
    <x v="3"/>
    <n v="2354.0335"/>
    <s v="Gift Card"/>
    <s v="FREESHIP"/>
    <n v="0"/>
    <s v="REG100321"/>
    <s v="Cust 5973"/>
    <n v="5.93"/>
    <d v="2024-02-13T00:00:00"/>
    <d v="2024-02-20T00:00:00"/>
    <s v="Wendy"/>
    <x v="5"/>
    <x v="4"/>
  </r>
  <r>
    <d v="2024-06-03T00:00:00"/>
    <x v="1"/>
    <x v="5"/>
    <n v="15"/>
    <n v="10.220000000000001"/>
    <s v="Store C"/>
    <s v="Retail"/>
    <n v="0"/>
    <x v="1"/>
    <n v="153.30000000000001"/>
    <s v="Gift Card"/>
    <s v="FREESHIP"/>
    <n v="0"/>
    <s v="REG100322"/>
    <s v="Cust 4310"/>
    <n v="36.270000000000003"/>
    <d v="2024-06-03T00:00:00"/>
    <d v="2024-06-07T00:00:00"/>
    <s v="Sophie"/>
    <x v="23"/>
    <x v="11"/>
  </r>
  <r>
    <d v="2023-04-14T00:00:00"/>
    <x v="1"/>
    <x v="6"/>
    <n v="17"/>
    <n v="464.16"/>
    <s v="Store A"/>
    <s v="Retail"/>
    <n v="0.15"/>
    <x v="3"/>
    <n v="6707.1120000000001"/>
    <s v="Debit Card"/>
    <s v="FREESHIP"/>
    <n v="1"/>
    <s v="REG100323"/>
    <s v="Cust 6243"/>
    <n v="46.83"/>
    <d v="2023-04-14T00:00:00"/>
    <d v="2023-04-18T00:00:00"/>
    <s v="Sophie"/>
    <x v="21"/>
    <x v="13"/>
  </r>
  <r>
    <d v="2024-10-19T00:00:00"/>
    <x v="3"/>
    <x v="0"/>
    <n v="16"/>
    <n v="436.31"/>
    <s v="Store C"/>
    <s v="Retail"/>
    <n v="0.05"/>
    <x v="4"/>
    <n v="6631.9119999999994"/>
    <s v="Online"/>
    <m/>
    <n v="0"/>
    <s v="REG100324"/>
    <s v="Cust 2448"/>
    <n v="47.61"/>
    <d v="2024-10-19T00:00:00"/>
    <d v="2024-10-23T00:00:00"/>
    <s v="Cameron"/>
    <x v="7"/>
    <x v="5"/>
  </r>
  <r>
    <d v="2023-12-18T00:00:00"/>
    <x v="1"/>
    <x v="0"/>
    <n v="9"/>
    <n v="219.93"/>
    <s v="Store B"/>
    <s v="Wholesale"/>
    <n v="0.05"/>
    <x v="5"/>
    <n v="1880.4014999999999"/>
    <s v="Gift Card"/>
    <s v="FREESHIP"/>
    <n v="0"/>
    <s v="REG100325"/>
    <s v="Cust 9386"/>
    <n v="44.78"/>
    <d v="2023-12-18T00:00:00"/>
    <d v="2023-12-22T00:00:00"/>
    <s v="Sophie"/>
    <x v="27"/>
    <x v="12"/>
  </r>
  <r>
    <d v="2023-08-31T00:00:00"/>
    <x v="2"/>
    <x v="0"/>
    <n v="5"/>
    <n v="311.22000000000003"/>
    <s v="Store A"/>
    <s v="Wholesale"/>
    <n v="0.15"/>
    <x v="4"/>
    <n v="1322.6849999999999"/>
    <s v="Cash"/>
    <s v="FREESHIP"/>
    <n v="0"/>
    <s v="REG100326"/>
    <s v="Cust 2227"/>
    <n v="36.979999999999997"/>
    <d v="2023-08-31T00:00:00"/>
    <d v="2023-09-06T00:00:00"/>
    <s v="Ryan"/>
    <x v="18"/>
    <x v="9"/>
  </r>
  <r>
    <d v="2023-09-19T00:00:00"/>
    <x v="1"/>
    <x v="0"/>
    <n v="4"/>
    <n v="547.55999999999995"/>
    <s v="Store D"/>
    <s v="Retail"/>
    <n v="0.15"/>
    <x v="2"/>
    <n v="1861.704"/>
    <s v="Gift Card"/>
    <m/>
    <n v="0"/>
    <s v="REG100327"/>
    <s v="Cust 3803"/>
    <n v="25.88"/>
    <d v="2023-09-19T00:00:00"/>
    <d v="2023-09-26T00:00:00"/>
    <s v="Sophie"/>
    <x v="22"/>
    <x v="14"/>
  </r>
  <r>
    <d v="2023-02-27T00:00:00"/>
    <x v="3"/>
    <x v="0"/>
    <n v="9"/>
    <n v="52.69"/>
    <s v="Store D"/>
    <s v="Retail"/>
    <n v="0.15"/>
    <x v="4"/>
    <n v="403.07850000000002"/>
    <s v="Online"/>
    <s v="SAVE10"/>
    <n v="0"/>
    <s v="REG100328"/>
    <s v="Cust 1236"/>
    <n v="14.59"/>
    <d v="2023-02-27T00:00:00"/>
    <d v="2023-03-04T00:00:00"/>
    <s v="Cameron"/>
    <x v="0"/>
    <x v="0"/>
  </r>
  <r>
    <d v="2024-01-28T00:00:00"/>
    <x v="1"/>
    <x v="5"/>
    <n v="9"/>
    <n v="434.74"/>
    <s v="Store D"/>
    <s v="Wholesale"/>
    <n v="0.1"/>
    <x v="5"/>
    <n v="3521.3939999999998"/>
    <s v="Online"/>
    <s v="SAVE10"/>
    <n v="0"/>
    <s v="REG100329"/>
    <s v="Cust 2669"/>
    <n v="20.11"/>
    <d v="2024-01-28T00:00:00"/>
    <d v="2024-01-31T00:00:00"/>
    <s v="Sophie"/>
    <x v="24"/>
    <x v="4"/>
  </r>
  <r>
    <d v="2025-05-06T00:00:00"/>
    <x v="1"/>
    <x v="4"/>
    <n v="9"/>
    <n v="124.17"/>
    <s v="Store C"/>
    <s v="Wholesale"/>
    <n v="0"/>
    <x v="0"/>
    <n v="1117.53"/>
    <s v="Debit Card"/>
    <s v="WINTER15"/>
    <n v="0"/>
    <s v="REG100330"/>
    <s v="Cust 3746"/>
    <n v="13.31"/>
    <d v="2025-05-06T00:00:00"/>
    <d v="2025-05-10T00:00:00"/>
    <s v="Sophie"/>
    <x v="13"/>
    <x v="10"/>
  </r>
  <r>
    <d v="2024-09-13T00:00:00"/>
    <x v="0"/>
    <x v="4"/>
    <n v="2"/>
    <n v="375.48"/>
    <s v="Store D"/>
    <s v="Retail"/>
    <n v="0.05"/>
    <x v="4"/>
    <n v="713.41200000000003"/>
    <s v="Credit Card"/>
    <s v="FREESHIP"/>
    <n v="0"/>
    <s v="REG100331"/>
    <s v="Cust 9694"/>
    <n v="26.39"/>
    <d v="2024-09-13T00:00:00"/>
    <d v="2024-09-15T00:00:00"/>
    <s v="Eric"/>
    <x v="26"/>
    <x v="5"/>
  </r>
  <r>
    <d v="2023-05-25T00:00:00"/>
    <x v="0"/>
    <x v="6"/>
    <n v="13"/>
    <n v="211.06"/>
    <s v="Store B"/>
    <s v="Retail"/>
    <n v="0.1"/>
    <x v="5"/>
    <n v="2469.402"/>
    <s v="Gift Card"/>
    <m/>
    <n v="1"/>
    <s v="REG100332"/>
    <s v="Cust 4993"/>
    <n v="19.579999999999998"/>
    <d v="2023-05-25T00:00:00"/>
    <d v="2023-05-29T00:00:00"/>
    <s v="Eric"/>
    <x v="2"/>
    <x v="2"/>
  </r>
  <r>
    <d v="2024-09-26T00:00:00"/>
    <x v="1"/>
    <x v="5"/>
    <n v="7"/>
    <n v="88.87"/>
    <s v="Store C"/>
    <s v="Retail"/>
    <n v="0"/>
    <x v="1"/>
    <n v="622.09"/>
    <s v="Online"/>
    <s v="SAVE10"/>
    <n v="0"/>
    <s v="REG100333"/>
    <s v="Cust 1271"/>
    <n v="8.36"/>
    <d v="2024-09-26T00:00:00"/>
    <d v="2024-10-01T00:00:00"/>
    <s v="Sophie"/>
    <x v="26"/>
    <x v="5"/>
  </r>
  <r>
    <d v="2023-02-13T00:00:00"/>
    <x v="1"/>
    <x v="1"/>
    <n v="5"/>
    <n v="254.24"/>
    <s v="Store B"/>
    <s v="Wholesale"/>
    <n v="0.05"/>
    <x v="5"/>
    <n v="1207.6400000000001"/>
    <s v="Online"/>
    <m/>
    <n v="0"/>
    <s v="REG100334"/>
    <s v="Cust 3042"/>
    <n v="9.9700000000000006"/>
    <d v="2023-02-13T00:00:00"/>
    <d v="2023-02-18T00:00:00"/>
    <s v="Sophie"/>
    <x v="0"/>
    <x v="0"/>
  </r>
  <r>
    <d v="2024-06-20T00:00:00"/>
    <x v="3"/>
    <x v="3"/>
    <n v="5"/>
    <n v="432.35"/>
    <s v="Store C"/>
    <s v="Wholesale"/>
    <n v="0.1"/>
    <x v="5"/>
    <n v="1945.575"/>
    <s v="Gift Card"/>
    <m/>
    <n v="1"/>
    <s v="REG100335"/>
    <s v="Cust 6424"/>
    <n v="41.48"/>
    <d v="2024-06-20T00:00:00"/>
    <d v="2024-06-27T00:00:00"/>
    <s v="Cameron"/>
    <x v="23"/>
    <x v="11"/>
  </r>
  <r>
    <d v="2024-03-22T00:00:00"/>
    <x v="4"/>
    <x v="0"/>
    <n v="19"/>
    <n v="590"/>
    <s v="Store D"/>
    <s v="Retail"/>
    <n v="0.05"/>
    <x v="1"/>
    <n v="10649.5"/>
    <s v="Online"/>
    <s v="FREESHIP"/>
    <n v="0"/>
    <s v="REG100336"/>
    <s v="Cust 1422"/>
    <n v="5.91"/>
    <d v="2024-03-22T00:00:00"/>
    <d v="2024-03-25T00:00:00"/>
    <s v="Wendy"/>
    <x v="25"/>
    <x v="7"/>
  </r>
  <r>
    <d v="2024-02-08T00:00:00"/>
    <x v="4"/>
    <x v="4"/>
    <n v="11"/>
    <n v="151.25"/>
    <s v="Store B"/>
    <s v="Wholesale"/>
    <n v="0.1"/>
    <x v="2"/>
    <n v="1497.375"/>
    <s v="Credit Card"/>
    <m/>
    <n v="1"/>
    <s v="REG100337"/>
    <s v="Cust 5857"/>
    <n v="22.65"/>
    <d v="2024-02-08T00:00:00"/>
    <d v="2024-02-11T00:00:00"/>
    <s v="Wendy"/>
    <x v="5"/>
    <x v="4"/>
  </r>
  <r>
    <d v="2024-06-01T00:00:00"/>
    <x v="0"/>
    <x v="2"/>
    <n v="3"/>
    <n v="204.79"/>
    <s v="Store B"/>
    <s v="Retail"/>
    <n v="0.1"/>
    <x v="2"/>
    <n v="552.93299999999999"/>
    <s v="Online"/>
    <s v="FREESHIP"/>
    <n v="1"/>
    <s v="REG100338"/>
    <s v="Cust 6953"/>
    <n v="7.72"/>
    <d v="2024-06-01T00:00:00"/>
    <d v="2024-06-04T00:00:00"/>
    <s v="Eric"/>
    <x v="23"/>
    <x v="11"/>
  </r>
  <r>
    <d v="2024-05-26T00:00:00"/>
    <x v="2"/>
    <x v="0"/>
    <n v="16"/>
    <n v="586.52"/>
    <s v="Store C"/>
    <s v="Wholesale"/>
    <n v="0"/>
    <x v="4"/>
    <n v="9384.32"/>
    <s v="Credit Card"/>
    <s v="WINTER15"/>
    <n v="1"/>
    <s v="REG100339"/>
    <s v="Cust 2916"/>
    <n v="17.059999999999999"/>
    <d v="2024-05-26T00:00:00"/>
    <d v="2024-06-01T00:00:00"/>
    <s v="Ryan"/>
    <x v="14"/>
    <x v="11"/>
  </r>
  <r>
    <d v="2024-06-25T00:00:00"/>
    <x v="0"/>
    <x v="6"/>
    <n v="16"/>
    <n v="104.83"/>
    <s v="Store A"/>
    <s v="Wholesale"/>
    <n v="0"/>
    <x v="3"/>
    <n v="1677.28"/>
    <s v="Gift Card"/>
    <s v="FREESHIP"/>
    <n v="0"/>
    <s v="REG100340"/>
    <s v="Cust 6855"/>
    <n v="33.99"/>
    <d v="2024-06-25T00:00:00"/>
    <d v="2024-06-30T00:00:00"/>
    <s v="Eric"/>
    <x v="23"/>
    <x v="11"/>
  </r>
  <r>
    <d v="2024-01-29T00:00:00"/>
    <x v="3"/>
    <x v="6"/>
    <n v="16"/>
    <n v="598.48"/>
    <s v="Store A"/>
    <s v="Retail"/>
    <n v="0.1"/>
    <x v="2"/>
    <n v="8618.112000000001"/>
    <s v="Cash"/>
    <m/>
    <n v="0"/>
    <s v="REG100341"/>
    <s v="Cust 8464"/>
    <n v="47.86"/>
    <d v="2024-01-29T00:00:00"/>
    <d v="2024-02-07T00:00:00"/>
    <s v="Cameron"/>
    <x v="24"/>
    <x v="4"/>
  </r>
  <r>
    <d v="2024-12-07T00:00:00"/>
    <x v="1"/>
    <x v="3"/>
    <n v="8"/>
    <n v="367.89"/>
    <s v="Store B"/>
    <s v="Retail"/>
    <n v="0.05"/>
    <x v="1"/>
    <n v="2795.9639999999999"/>
    <s v="Cash"/>
    <s v="FREESHIP"/>
    <n v="0"/>
    <s v="REG100342"/>
    <s v="Cust 9700"/>
    <n v="18.100000000000001"/>
    <d v="2024-12-07T00:00:00"/>
    <d v="2024-12-09T00:00:00"/>
    <s v="Sophie"/>
    <x v="1"/>
    <x v="1"/>
  </r>
  <r>
    <d v="2023-11-21T00:00:00"/>
    <x v="4"/>
    <x v="3"/>
    <n v="10"/>
    <n v="333.35"/>
    <s v="Store A"/>
    <s v="Retail"/>
    <n v="0.15"/>
    <x v="1"/>
    <n v="2833.4749999999999"/>
    <s v="Debit Card"/>
    <s v="FREESHIP"/>
    <n v="0"/>
    <s v="REG100343"/>
    <s v="Cust 7765"/>
    <n v="39.35"/>
    <d v="2023-11-21T00:00:00"/>
    <d v="2023-11-26T00:00:00"/>
    <s v="Wendy"/>
    <x v="15"/>
    <x v="12"/>
  </r>
  <r>
    <d v="2024-12-16T00:00:00"/>
    <x v="2"/>
    <x v="3"/>
    <n v="8"/>
    <n v="378.88"/>
    <s v="Store A"/>
    <s v="Wholesale"/>
    <n v="0.1"/>
    <x v="2"/>
    <n v="2727.9360000000001"/>
    <s v="Debit Card"/>
    <s v="WINTER15"/>
    <n v="1"/>
    <s v="REG100344"/>
    <s v="Cust 8246"/>
    <n v="5.22"/>
    <d v="2024-12-16T00:00:00"/>
    <d v="2024-12-24T00:00:00"/>
    <s v="Ryan"/>
    <x v="1"/>
    <x v="1"/>
  </r>
  <r>
    <d v="2023-08-05T00:00:00"/>
    <x v="3"/>
    <x v="4"/>
    <n v="12"/>
    <n v="169.2"/>
    <s v="Store C"/>
    <s v="Retail"/>
    <n v="0.05"/>
    <x v="4"/>
    <n v="1928.88"/>
    <s v="Gift Card"/>
    <s v="SAVE10"/>
    <n v="0"/>
    <s v="REG100345"/>
    <s v="Cust 6500"/>
    <n v="28.65"/>
    <d v="2023-08-05T00:00:00"/>
    <d v="2023-08-15T00:00:00"/>
    <s v="Cameron"/>
    <x v="18"/>
    <x v="9"/>
  </r>
  <r>
    <d v="2023-08-30T00:00:00"/>
    <x v="3"/>
    <x v="3"/>
    <n v="7"/>
    <n v="103.03"/>
    <s v="Store D"/>
    <s v="Retail"/>
    <n v="0.1"/>
    <x v="5"/>
    <n v="649.08900000000006"/>
    <s v="Online"/>
    <s v="FREESHIP"/>
    <n v="1"/>
    <s v="REG100346"/>
    <s v="Cust 1150"/>
    <n v="5.29"/>
    <d v="2023-08-30T00:00:00"/>
    <d v="2023-09-06T00:00:00"/>
    <s v="Cameron"/>
    <x v="18"/>
    <x v="9"/>
  </r>
  <r>
    <d v="2025-03-25T00:00:00"/>
    <x v="0"/>
    <x v="6"/>
    <n v="3"/>
    <n v="378.74"/>
    <s v="Store D"/>
    <s v="Wholesale"/>
    <n v="0.15"/>
    <x v="2"/>
    <n v="965.78700000000003"/>
    <s v="Online"/>
    <s v="SAVE10"/>
    <n v="0"/>
    <s v="REG100347"/>
    <s v="Cust 7449"/>
    <n v="8.2200000000000006"/>
    <d v="2025-03-25T00:00:00"/>
    <d v="2025-03-27T00:00:00"/>
    <s v="Eric"/>
    <x v="8"/>
    <x v="6"/>
  </r>
  <r>
    <d v="2024-12-13T00:00:00"/>
    <x v="2"/>
    <x v="1"/>
    <n v="15"/>
    <n v="27.21"/>
    <s v="Store C"/>
    <s v="Wholesale"/>
    <n v="0"/>
    <x v="1"/>
    <n v="408.15"/>
    <s v="Online"/>
    <s v="WINTER15"/>
    <n v="0"/>
    <s v="REG100348"/>
    <s v="Cust 1957"/>
    <n v="43.69"/>
    <d v="2024-12-13T00:00:00"/>
    <d v="2024-12-22T00:00:00"/>
    <s v="Ryan"/>
    <x v="1"/>
    <x v="1"/>
  </r>
  <r>
    <d v="2023-09-07T00:00:00"/>
    <x v="3"/>
    <x v="1"/>
    <n v="14"/>
    <n v="52.09"/>
    <s v="Store A"/>
    <s v="Retail"/>
    <n v="0"/>
    <x v="5"/>
    <n v="729.26"/>
    <s v="Gift Card"/>
    <m/>
    <n v="1"/>
    <s v="REG100349"/>
    <s v="Cust 3467"/>
    <n v="48.02"/>
    <d v="2023-09-07T00:00:00"/>
    <d v="2023-09-14T00:00:00"/>
    <s v="Cameron"/>
    <x v="22"/>
    <x v="14"/>
  </r>
  <r>
    <d v="2023-12-12T00:00:00"/>
    <x v="2"/>
    <x v="4"/>
    <n v="7"/>
    <n v="570.01"/>
    <s v="Store C"/>
    <s v="Wholesale"/>
    <n v="0"/>
    <x v="3"/>
    <n v="3990.07"/>
    <s v="Credit Card"/>
    <s v="WINTER15"/>
    <n v="0"/>
    <s v="REG100350"/>
    <s v="Cust 5212"/>
    <n v="42.33"/>
    <d v="2023-12-12T00:00:00"/>
    <d v="2023-12-21T00:00:00"/>
    <s v="Ryan"/>
    <x v="27"/>
    <x v="12"/>
  </r>
  <r>
    <d v="2024-04-25T00:00:00"/>
    <x v="0"/>
    <x v="4"/>
    <n v="19"/>
    <n v="526.23"/>
    <s v="Store B"/>
    <s v="Retail"/>
    <n v="0"/>
    <x v="5"/>
    <n v="9998.3700000000008"/>
    <s v="Credit Card"/>
    <s v="WINTER15"/>
    <n v="0"/>
    <s v="REG100351"/>
    <s v="Cust 3509"/>
    <n v="32.770000000000003"/>
    <d v="2024-04-25T00:00:00"/>
    <d v="2024-05-05T00:00:00"/>
    <s v="Eric"/>
    <x v="9"/>
    <x v="7"/>
  </r>
  <r>
    <d v="2025-05-04T00:00:00"/>
    <x v="2"/>
    <x v="0"/>
    <n v="8"/>
    <n v="294.51"/>
    <s v="Store A"/>
    <s v="Wholesale"/>
    <n v="0.15"/>
    <x v="4"/>
    <n v="2002.6679999999999"/>
    <s v="Gift Card"/>
    <m/>
    <n v="0"/>
    <s v="REG100352"/>
    <s v="Cust 5316"/>
    <n v="10.46"/>
    <d v="2025-05-04T00:00:00"/>
    <d v="2025-05-07T00:00:00"/>
    <s v="Ryan"/>
    <x v="13"/>
    <x v="10"/>
  </r>
  <r>
    <d v="2023-09-16T00:00:00"/>
    <x v="1"/>
    <x v="4"/>
    <n v="18"/>
    <n v="448.27"/>
    <s v="Store C"/>
    <s v="Wholesale"/>
    <n v="0.05"/>
    <x v="4"/>
    <n v="7665.4169999999986"/>
    <s v="Credit Card"/>
    <s v="SAVE10"/>
    <n v="0"/>
    <s v="REG100353"/>
    <s v="Cust 9919"/>
    <n v="47.56"/>
    <d v="2023-09-16T00:00:00"/>
    <d v="2023-09-20T00:00:00"/>
    <s v="Sophie"/>
    <x v="22"/>
    <x v="14"/>
  </r>
  <r>
    <d v="2024-10-23T00:00:00"/>
    <x v="4"/>
    <x v="2"/>
    <n v="17"/>
    <n v="583.88"/>
    <s v="Store D"/>
    <s v="Retail"/>
    <n v="0.1"/>
    <x v="1"/>
    <n v="8933.3639999999996"/>
    <s v="Credit Card"/>
    <s v="WINTER15"/>
    <n v="0"/>
    <s v="REG100354"/>
    <s v="Cust 7129"/>
    <n v="37.53"/>
    <d v="2024-10-23T00:00:00"/>
    <d v="2024-10-26T00:00:00"/>
    <s v="Wendy"/>
    <x v="7"/>
    <x v="5"/>
  </r>
  <r>
    <d v="2023-05-03T00:00:00"/>
    <x v="2"/>
    <x v="2"/>
    <n v="2"/>
    <n v="97.5"/>
    <s v="Store D"/>
    <s v="Retail"/>
    <n v="0.1"/>
    <x v="1"/>
    <n v="175.5"/>
    <s v="Cash"/>
    <m/>
    <n v="1"/>
    <s v="REG100355"/>
    <s v="Cust 9841"/>
    <n v="46.37"/>
    <d v="2023-05-03T00:00:00"/>
    <d v="2023-05-06T00:00:00"/>
    <s v="Ryan"/>
    <x v="2"/>
    <x v="13"/>
  </r>
  <r>
    <d v="2025-03-18T00:00:00"/>
    <x v="2"/>
    <x v="6"/>
    <n v="16"/>
    <n v="420.79"/>
    <s v="Store B"/>
    <s v="Wholesale"/>
    <n v="0.15"/>
    <x v="3"/>
    <n v="5722.7439999999997"/>
    <s v="Cash"/>
    <s v="FREESHIP"/>
    <n v="1"/>
    <s v="REG100356"/>
    <s v="Cust 6362"/>
    <n v="22.13"/>
    <d v="2025-03-18T00:00:00"/>
    <d v="2025-03-25T00:00:00"/>
    <s v="Ryan"/>
    <x v="8"/>
    <x v="6"/>
  </r>
  <r>
    <d v="2023-08-25T00:00:00"/>
    <x v="4"/>
    <x v="3"/>
    <n v="13"/>
    <n v="513.17999999999995"/>
    <s v="Store B"/>
    <s v="Retail"/>
    <n v="0"/>
    <x v="0"/>
    <n v="6671.3399999999992"/>
    <s v="Credit Card"/>
    <s v="FREESHIP"/>
    <n v="0"/>
    <s v="REG100357"/>
    <s v="Cust 4142"/>
    <n v="10.57"/>
    <d v="2023-08-25T00:00:00"/>
    <d v="2023-08-27T00:00:00"/>
    <s v="Wendy"/>
    <x v="18"/>
    <x v="9"/>
  </r>
  <r>
    <d v="2023-07-13T00:00:00"/>
    <x v="2"/>
    <x v="4"/>
    <n v="19"/>
    <n v="475.64"/>
    <s v="Store C"/>
    <s v="Retail"/>
    <n v="0.1"/>
    <x v="2"/>
    <n v="8133.4440000000004"/>
    <s v="Cash"/>
    <s v="WINTER15"/>
    <n v="1"/>
    <s v="REG100358"/>
    <s v="Cust 9584"/>
    <n v="11.17"/>
    <d v="2023-07-13T00:00:00"/>
    <d v="2023-07-17T00:00:00"/>
    <s v="Ryan"/>
    <x v="11"/>
    <x v="9"/>
  </r>
  <r>
    <d v="2025-02-25T00:00:00"/>
    <x v="2"/>
    <x v="5"/>
    <n v="13"/>
    <n v="238.34"/>
    <s v="Store C"/>
    <s v="Retail"/>
    <n v="0.1"/>
    <x v="3"/>
    <n v="2788.578"/>
    <s v="Credit Card"/>
    <s v="SAVE10"/>
    <n v="1"/>
    <s v="REG100359"/>
    <s v="Cust 2553"/>
    <n v="7.9"/>
    <d v="2025-02-25T00:00:00"/>
    <d v="2025-03-06T00:00:00"/>
    <s v="Ryan"/>
    <x v="3"/>
    <x v="3"/>
  </r>
  <r>
    <d v="2025-04-14T00:00:00"/>
    <x v="3"/>
    <x v="0"/>
    <n v="14"/>
    <n v="285.02999999999997"/>
    <s v="Store B"/>
    <s v="Wholesale"/>
    <n v="0.1"/>
    <x v="0"/>
    <n v="3591.3780000000002"/>
    <s v="Credit Card"/>
    <s v="SAVE10"/>
    <n v="0"/>
    <s v="REG100360"/>
    <s v="Cust 1347"/>
    <n v="41.5"/>
    <d v="2025-04-14T00:00:00"/>
    <d v="2025-04-17T00:00:00"/>
    <s v="Cameron"/>
    <x v="28"/>
    <x v="6"/>
  </r>
  <r>
    <d v="2025-06-15T00:00:00"/>
    <x v="3"/>
    <x v="2"/>
    <n v="5"/>
    <n v="5.52"/>
    <s v="Store C"/>
    <s v="Retail"/>
    <n v="0.05"/>
    <x v="1"/>
    <n v="26.22"/>
    <s v="Credit Card"/>
    <s v="FREESHIP"/>
    <n v="0"/>
    <s v="REG100361"/>
    <s v="Cust 8305"/>
    <n v="10.58"/>
    <d v="2025-06-15T00:00:00"/>
    <d v="2025-06-18T00:00:00"/>
    <s v="Cameron"/>
    <x v="16"/>
    <x v="10"/>
  </r>
  <r>
    <d v="2024-10-22T00:00:00"/>
    <x v="2"/>
    <x v="4"/>
    <n v="18"/>
    <n v="396.25"/>
    <s v="Store D"/>
    <s v="Retail"/>
    <n v="0.1"/>
    <x v="2"/>
    <n v="6419.25"/>
    <s v="Credit Card"/>
    <s v="FREESHIP"/>
    <n v="0"/>
    <s v="REG100362"/>
    <s v="Cust 7015"/>
    <n v="20.39"/>
    <d v="2024-10-22T00:00:00"/>
    <d v="2024-10-27T00:00:00"/>
    <s v="Ryan"/>
    <x v="7"/>
    <x v="5"/>
  </r>
  <r>
    <d v="2023-06-20T00:00:00"/>
    <x v="1"/>
    <x v="0"/>
    <n v="9"/>
    <n v="282.8"/>
    <s v="Store D"/>
    <s v="Wholesale"/>
    <n v="0.05"/>
    <x v="0"/>
    <n v="2417.94"/>
    <s v="Online"/>
    <m/>
    <n v="0"/>
    <s v="REG100363"/>
    <s v="Cust 4394"/>
    <n v="49.79"/>
    <d v="2023-06-20T00:00:00"/>
    <d v="2023-06-25T00:00:00"/>
    <s v="Sophie"/>
    <x v="4"/>
    <x v="2"/>
  </r>
  <r>
    <d v="2025-03-05T00:00:00"/>
    <x v="1"/>
    <x v="1"/>
    <n v="6"/>
    <n v="525.42999999999995"/>
    <s v="Store C"/>
    <s v="Wholesale"/>
    <n v="0.05"/>
    <x v="1"/>
    <n v="2994.951"/>
    <s v="Credit Card"/>
    <m/>
    <n v="0"/>
    <s v="REG100364"/>
    <s v="Cust 3323"/>
    <n v="39.28"/>
    <d v="2025-03-05T00:00:00"/>
    <d v="2025-03-11T00:00:00"/>
    <s v="Sophie"/>
    <x v="8"/>
    <x v="6"/>
  </r>
  <r>
    <d v="2023-10-28T00:00:00"/>
    <x v="4"/>
    <x v="5"/>
    <n v="15"/>
    <n v="127.67"/>
    <s v="Store D"/>
    <s v="Retail"/>
    <n v="0.1"/>
    <x v="1"/>
    <n v="1723.5450000000001"/>
    <s v="Debit Card"/>
    <m/>
    <n v="0"/>
    <s v="REG100365"/>
    <s v="Cust 4029"/>
    <n v="48.77"/>
    <d v="2023-10-28T00:00:00"/>
    <d v="2023-10-30T00:00:00"/>
    <s v="Wendy"/>
    <x v="19"/>
    <x v="14"/>
  </r>
  <r>
    <d v="2025-03-19T00:00:00"/>
    <x v="3"/>
    <x v="0"/>
    <n v="17"/>
    <n v="511.8"/>
    <s v="Store B"/>
    <s v="Retail"/>
    <n v="0.05"/>
    <x v="3"/>
    <n v="8265.57"/>
    <s v="Credit Card"/>
    <s v="WINTER15"/>
    <n v="1"/>
    <s v="REG100366"/>
    <s v="Cust 1400"/>
    <n v="13.33"/>
    <d v="2025-03-19T00:00:00"/>
    <d v="2025-03-26T00:00:00"/>
    <s v="Cameron"/>
    <x v="8"/>
    <x v="6"/>
  </r>
  <r>
    <d v="2023-08-06T00:00:00"/>
    <x v="4"/>
    <x v="5"/>
    <n v="4"/>
    <n v="555.86"/>
    <s v="Store C"/>
    <s v="Retail"/>
    <n v="0.05"/>
    <x v="5"/>
    <n v="2112.268"/>
    <s v="Cash"/>
    <s v="FREESHIP"/>
    <n v="0"/>
    <s v="REG100367"/>
    <s v="Cust 6361"/>
    <n v="28.92"/>
    <d v="2023-08-06T00:00:00"/>
    <d v="2023-08-08T00:00:00"/>
    <s v="Wendy"/>
    <x v="18"/>
    <x v="9"/>
  </r>
  <r>
    <d v="2024-09-11T00:00:00"/>
    <x v="3"/>
    <x v="4"/>
    <n v="15"/>
    <n v="202.72"/>
    <s v="Store D"/>
    <s v="Retail"/>
    <n v="0.05"/>
    <x v="0"/>
    <n v="2888.76"/>
    <s v="Debit Card"/>
    <s v="WINTER15"/>
    <n v="1"/>
    <s v="REG100368"/>
    <s v="Cust 5267"/>
    <n v="41.61"/>
    <d v="2024-09-11T00:00:00"/>
    <d v="2024-09-19T00:00:00"/>
    <s v="Cameron"/>
    <x v="26"/>
    <x v="5"/>
  </r>
  <r>
    <d v="2025-01-08T00:00:00"/>
    <x v="3"/>
    <x v="3"/>
    <n v="4"/>
    <n v="353.7"/>
    <s v="Store A"/>
    <s v="Wholesale"/>
    <n v="0"/>
    <x v="2"/>
    <n v="1414.8"/>
    <s v="Credit Card"/>
    <s v="FREESHIP"/>
    <n v="0"/>
    <s v="REG100369"/>
    <s v="Cust 9354"/>
    <n v="41.98"/>
    <d v="2025-01-08T00:00:00"/>
    <d v="2025-01-12T00:00:00"/>
    <s v="Cameron"/>
    <x v="12"/>
    <x v="3"/>
  </r>
  <r>
    <d v="2024-08-12T00:00:00"/>
    <x v="3"/>
    <x v="3"/>
    <n v="3"/>
    <n v="149.25"/>
    <s v="Store D"/>
    <s v="Wholesale"/>
    <n v="0"/>
    <x v="3"/>
    <n v="447.75"/>
    <s v="Debit Card"/>
    <m/>
    <n v="1"/>
    <s v="REG100370"/>
    <s v="Cust 9443"/>
    <n v="13.17"/>
    <d v="2024-08-12T00:00:00"/>
    <d v="2024-08-14T00:00:00"/>
    <s v="Cameron"/>
    <x v="29"/>
    <x v="8"/>
  </r>
  <r>
    <d v="2023-03-30T00:00:00"/>
    <x v="2"/>
    <x v="4"/>
    <n v="19"/>
    <n v="156.44"/>
    <s v="Store C"/>
    <s v="Wholesale"/>
    <n v="0.1"/>
    <x v="1"/>
    <n v="2675.1239999999998"/>
    <s v="Online"/>
    <s v="WINTER15"/>
    <n v="0"/>
    <s v="REG100371"/>
    <s v="Cust 2252"/>
    <n v="19.440000000000001"/>
    <d v="2023-03-30T00:00:00"/>
    <d v="2023-04-04T00:00:00"/>
    <s v="Ryan"/>
    <x v="17"/>
    <x v="13"/>
  </r>
  <r>
    <d v="2023-02-01T00:00:00"/>
    <x v="3"/>
    <x v="1"/>
    <n v="7"/>
    <n v="241.76"/>
    <s v="Store D"/>
    <s v="Wholesale"/>
    <n v="0"/>
    <x v="3"/>
    <n v="1692.32"/>
    <s v="Online"/>
    <s v="SAVE10"/>
    <n v="0"/>
    <s v="REG100372"/>
    <s v="Cust 1031"/>
    <n v="48.13"/>
    <d v="2023-02-01T00:00:00"/>
    <d v="2023-02-09T00:00:00"/>
    <s v="Cameron"/>
    <x v="0"/>
    <x v="0"/>
  </r>
  <r>
    <d v="2025-04-18T00:00:00"/>
    <x v="2"/>
    <x v="0"/>
    <n v="20"/>
    <n v="170.49"/>
    <s v="Store A"/>
    <s v="Wholesale"/>
    <n v="0"/>
    <x v="4"/>
    <n v="3409.8"/>
    <s v="Online"/>
    <s v="FREESHIP"/>
    <n v="0"/>
    <s v="REG100373"/>
    <s v="Cust 6086"/>
    <n v="19.739999999999998"/>
    <d v="2025-04-18T00:00:00"/>
    <d v="2025-04-27T00:00:00"/>
    <s v="Ryan"/>
    <x v="28"/>
    <x v="6"/>
  </r>
  <r>
    <d v="2025-03-29T00:00:00"/>
    <x v="3"/>
    <x v="4"/>
    <n v="11"/>
    <n v="149.66999999999999"/>
    <s v="Store C"/>
    <s v="Retail"/>
    <n v="0.1"/>
    <x v="0"/>
    <n v="1481.7329999999999"/>
    <s v="Credit Card"/>
    <m/>
    <n v="0"/>
    <s v="REG100374"/>
    <s v="Cust 1672"/>
    <n v="34.130000000000003"/>
    <d v="2025-03-29T00:00:00"/>
    <d v="2025-04-02T00:00:00"/>
    <s v="Cameron"/>
    <x v="8"/>
    <x v="6"/>
  </r>
  <r>
    <d v="2024-04-25T00:00:00"/>
    <x v="0"/>
    <x v="5"/>
    <n v="1"/>
    <n v="173.56"/>
    <s v="Store D"/>
    <s v="Retail"/>
    <n v="0.1"/>
    <x v="0"/>
    <n v="156.20400000000001"/>
    <s v="Debit Card"/>
    <s v="FREESHIP"/>
    <n v="0"/>
    <s v="REG100375"/>
    <s v="Cust 9313"/>
    <n v="39.1"/>
    <d v="2024-04-25T00:00:00"/>
    <d v="2024-04-28T00:00:00"/>
    <s v="Eric"/>
    <x v="9"/>
    <x v="7"/>
  </r>
  <r>
    <d v="2024-09-22T00:00:00"/>
    <x v="1"/>
    <x v="4"/>
    <n v="7"/>
    <n v="349.55"/>
    <s v="Store A"/>
    <s v="Retail"/>
    <n v="0.05"/>
    <x v="3"/>
    <n v="2324.5075000000002"/>
    <s v="Credit Card"/>
    <s v="FREESHIP"/>
    <n v="0"/>
    <s v="REG100376"/>
    <s v="Cust 4405"/>
    <n v="23.7"/>
    <d v="2024-09-22T00:00:00"/>
    <d v="2024-09-27T00:00:00"/>
    <s v="Sophie"/>
    <x v="26"/>
    <x v="5"/>
  </r>
  <r>
    <d v="2023-08-05T00:00:00"/>
    <x v="3"/>
    <x v="5"/>
    <n v="9"/>
    <n v="245.14"/>
    <s v="Store B"/>
    <s v="Wholesale"/>
    <n v="0"/>
    <x v="1"/>
    <n v="2206.2600000000002"/>
    <s v="Online"/>
    <s v="SAVE10"/>
    <n v="1"/>
    <s v="REG100377"/>
    <s v="Cust 6453"/>
    <n v="44.6"/>
    <d v="2023-08-05T00:00:00"/>
    <d v="2023-08-14T00:00:00"/>
    <s v="Cameron"/>
    <x v="18"/>
    <x v="9"/>
  </r>
  <r>
    <d v="2024-06-07T00:00:00"/>
    <x v="1"/>
    <x v="2"/>
    <n v="1"/>
    <n v="423.08"/>
    <s v="Store B"/>
    <s v="Wholesale"/>
    <n v="0.05"/>
    <x v="5"/>
    <n v="401.92599999999999"/>
    <s v="Gift Card"/>
    <s v="WINTER15"/>
    <n v="0"/>
    <s v="REG100378"/>
    <s v="Cust 4772"/>
    <n v="31.75"/>
    <d v="2024-06-07T00:00:00"/>
    <d v="2024-06-11T00:00:00"/>
    <s v="Sophie"/>
    <x v="23"/>
    <x v="11"/>
  </r>
  <r>
    <d v="2025-05-24T00:00:00"/>
    <x v="0"/>
    <x v="1"/>
    <n v="19"/>
    <n v="337.82"/>
    <s v="Store B"/>
    <s v="Wholesale"/>
    <n v="0.15"/>
    <x v="1"/>
    <n v="5455.7929999999997"/>
    <s v="Online"/>
    <s v="FREESHIP"/>
    <n v="0"/>
    <s v="REG100379"/>
    <s v="Cust 1762"/>
    <n v="45.74"/>
    <d v="2025-05-24T00:00:00"/>
    <d v="2025-05-30T00:00:00"/>
    <s v="Eric"/>
    <x v="13"/>
    <x v="10"/>
  </r>
  <r>
    <d v="2024-07-18T00:00:00"/>
    <x v="1"/>
    <x v="3"/>
    <n v="10"/>
    <n v="252.63"/>
    <s v="Store B"/>
    <s v="Retail"/>
    <n v="0.15"/>
    <x v="0"/>
    <n v="2147.355"/>
    <s v="Cash"/>
    <s v="FREESHIP"/>
    <n v="0"/>
    <s v="REG100380"/>
    <s v="Cust 1865"/>
    <n v="8.92"/>
    <d v="2024-07-18T00:00:00"/>
    <d v="2024-07-25T00:00:00"/>
    <s v="Sophie"/>
    <x v="10"/>
    <x v="8"/>
  </r>
  <r>
    <d v="2024-07-14T00:00:00"/>
    <x v="4"/>
    <x v="5"/>
    <n v="3"/>
    <n v="87.02"/>
    <s v="Store B"/>
    <s v="Wholesale"/>
    <n v="0.1"/>
    <x v="2"/>
    <n v="234.95400000000001"/>
    <s v="Cash"/>
    <s v="WINTER15"/>
    <n v="0"/>
    <s v="REG100381"/>
    <s v="Cust 9552"/>
    <n v="11.13"/>
    <d v="2024-07-14T00:00:00"/>
    <d v="2024-07-16T00:00:00"/>
    <s v="Wendy"/>
    <x v="10"/>
    <x v="8"/>
  </r>
  <r>
    <d v="2023-04-14T00:00:00"/>
    <x v="3"/>
    <x v="5"/>
    <n v="11"/>
    <n v="6.72"/>
    <s v="Store D"/>
    <s v="Wholesale"/>
    <n v="0.05"/>
    <x v="5"/>
    <n v="70.224000000000004"/>
    <s v="Cash"/>
    <s v="SAVE10"/>
    <n v="0"/>
    <s v="REG100382"/>
    <s v="Cust 4273"/>
    <n v="34.270000000000003"/>
    <d v="2023-04-14T00:00:00"/>
    <d v="2023-04-19T00:00:00"/>
    <s v="Cameron"/>
    <x v="21"/>
    <x v="13"/>
  </r>
  <r>
    <d v="2023-06-01T00:00:00"/>
    <x v="1"/>
    <x v="6"/>
    <n v="2"/>
    <n v="279.38"/>
    <s v="Store D"/>
    <s v="Retail"/>
    <n v="0.1"/>
    <x v="3"/>
    <n v="502.88400000000001"/>
    <s v="Online"/>
    <s v="FREESHIP"/>
    <n v="0"/>
    <s v="REG100383"/>
    <s v="Cust 8712"/>
    <n v="22.95"/>
    <d v="2023-06-01T00:00:00"/>
    <d v="2023-06-06T00:00:00"/>
    <s v="Sophie"/>
    <x v="4"/>
    <x v="2"/>
  </r>
  <r>
    <d v="2025-04-17T00:00:00"/>
    <x v="3"/>
    <x v="1"/>
    <n v="9"/>
    <n v="207.8"/>
    <s v="Store D"/>
    <s v="Retail"/>
    <n v="0.1"/>
    <x v="1"/>
    <n v="1683.18"/>
    <s v="Online"/>
    <s v="WINTER15"/>
    <n v="0"/>
    <s v="REG100384"/>
    <s v="Cust 9048"/>
    <n v="16.989999999999998"/>
    <d v="2025-04-17T00:00:00"/>
    <d v="2025-04-20T00:00:00"/>
    <s v="Cameron"/>
    <x v="28"/>
    <x v="6"/>
  </r>
  <r>
    <d v="2025-03-31T00:00:00"/>
    <x v="0"/>
    <x v="6"/>
    <n v="15"/>
    <n v="511.88"/>
    <s v="Store C"/>
    <s v="Wholesale"/>
    <n v="0.05"/>
    <x v="5"/>
    <n v="7294.2899999999991"/>
    <s v="Cash"/>
    <s v="SAVE10"/>
    <n v="0"/>
    <s v="REG100385"/>
    <s v="Cust 7714"/>
    <n v="10.220000000000001"/>
    <d v="2025-03-31T00:00:00"/>
    <d v="2025-04-09T00:00:00"/>
    <s v="Eric"/>
    <x v="8"/>
    <x v="6"/>
  </r>
  <r>
    <d v="2024-07-15T00:00:00"/>
    <x v="0"/>
    <x v="6"/>
    <n v="10"/>
    <n v="325.97000000000003"/>
    <s v="Store D"/>
    <s v="Retail"/>
    <n v="0"/>
    <x v="5"/>
    <n v="3259.7"/>
    <s v="Cash"/>
    <s v="FREESHIP"/>
    <n v="1"/>
    <s v="REG100386"/>
    <s v="Cust 4770"/>
    <n v="49.95"/>
    <d v="2024-07-15T00:00:00"/>
    <d v="2024-07-22T00:00:00"/>
    <s v="Eric"/>
    <x v="10"/>
    <x v="8"/>
  </r>
  <r>
    <d v="2024-08-30T00:00:00"/>
    <x v="1"/>
    <x v="0"/>
    <n v="17"/>
    <n v="469.32"/>
    <s v="Store B"/>
    <s v="Retail"/>
    <n v="0"/>
    <x v="3"/>
    <n v="7978.44"/>
    <s v="Gift Card"/>
    <s v="WINTER15"/>
    <n v="1"/>
    <s v="REG100387"/>
    <s v="Cust 2007"/>
    <n v="5.86"/>
    <d v="2024-08-30T00:00:00"/>
    <d v="2024-09-01T00:00:00"/>
    <s v="Sophie"/>
    <x v="29"/>
    <x v="5"/>
  </r>
  <r>
    <d v="2025-01-07T00:00:00"/>
    <x v="3"/>
    <x v="1"/>
    <n v="13"/>
    <n v="186.69"/>
    <s v="Store D"/>
    <s v="Wholesale"/>
    <n v="0"/>
    <x v="5"/>
    <n v="2426.9699999999998"/>
    <s v="Cash"/>
    <s v="FREESHIP"/>
    <n v="0"/>
    <s v="REG100388"/>
    <s v="Cust 8909"/>
    <n v="19.920000000000002"/>
    <d v="2025-01-07T00:00:00"/>
    <d v="2025-01-10T00:00:00"/>
    <s v="Cameron"/>
    <x v="12"/>
    <x v="3"/>
  </r>
  <r>
    <d v="2025-02-05T00:00:00"/>
    <x v="1"/>
    <x v="1"/>
    <n v="16"/>
    <n v="34.659999999999997"/>
    <s v="Store C"/>
    <s v="Retail"/>
    <n v="0.05"/>
    <x v="1"/>
    <n v="526.83199999999988"/>
    <s v="Debit Card"/>
    <m/>
    <n v="0"/>
    <s v="REG100389"/>
    <s v="Cust 4196"/>
    <n v="49.9"/>
    <d v="2025-02-05T00:00:00"/>
    <d v="2025-02-11T00:00:00"/>
    <s v="Sophie"/>
    <x v="3"/>
    <x v="3"/>
  </r>
  <r>
    <d v="2024-04-01T00:00:00"/>
    <x v="2"/>
    <x v="6"/>
    <n v="18"/>
    <n v="155.04"/>
    <s v="Store B"/>
    <s v="Wholesale"/>
    <n v="0.15"/>
    <x v="2"/>
    <n v="2372.1120000000001"/>
    <s v="Cash"/>
    <s v="WINTER15"/>
    <n v="0"/>
    <s v="REG100390"/>
    <s v="Cust 4189"/>
    <n v="39.99"/>
    <d v="2024-04-01T00:00:00"/>
    <d v="2024-04-04T00:00:00"/>
    <s v="Ryan"/>
    <x v="9"/>
    <x v="7"/>
  </r>
  <r>
    <d v="2025-03-01T00:00:00"/>
    <x v="4"/>
    <x v="4"/>
    <n v="4"/>
    <n v="69.599999999999994"/>
    <s v="Store D"/>
    <s v="Wholesale"/>
    <n v="0.05"/>
    <x v="0"/>
    <n v="264.48"/>
    <s v="Gift Card"/>
    <s v="SAVE10"/>
    <n v="0"/>
    <s v="REG100391"/>
    <s v="Cust 7226"/>
    <n v="17.68"/>
    <d v="2025-03-01T00:00:00"/>
    <d v="2025-03-09T00:00:00"/>
    <s v="Wendy"/>
    <x v="8"/>
    <x v="3"/>
  </r>
  <r>
    <d v="2023-07-03T00:00:00"/>
    <x v="3"/>
    <x v="4"/>
    <n v="13"/>
    <n v="55.09"/>
    <s v="Store A"/>
    <s v="Wholesale"/>
    <n v="0.15"/>
    <x v="4"/>
    <n v="608.74450000000002"/>
    <s v="Cash"/>
    <s v="FREESHIP"/>
    <n v="1"/>
    <s v="REG100392"/>
    <s v="Cust 5015"/>
    <n v="47.78"/>
    <d v="2023-07-03T00:00:00"/>
    <d v="2023-07-06T00:00:00"/>
    <s v="Cameron"/>
    <x v="11"/>
    <x v="9"/>
  </r>
  <r>
    <d v="2023-04-25T00:00:00"/>
    <x v="3"/>
    <x v="0"/>
    <n v="13"/>
    <n v="206.11"/>
    <s v="Store B"/>
    <s v="Retail"/>
    <n v="0.15"/>
    <x v="5"/>
    <n v="2277.5155"/>
    <s v="Gift Card"/>
    <s v="SAVE10"/>
    <n v="1"/>
    <s v="REG100393"/>
    <s v="Cust 9904"/>
    <n v="22.59"/>
    <d v="2023-04-25T00:00:00"/>
    <d v="2023-05-01T00:00:00"/>
    <s v="Cameron"/>
    <x v="21"/>
    <x v="13"/>
  </r>
  <r>
    <d v="2025-04-09T00:00:00"/>
    <x v="4"/>
    <x v="5"/>
    <n v="14"/>
    <n v="484.38"/>
    <s v="Store D"/>
    <s v="Retail"/>
    <n v="0.05"/>
    <x v="2"/>
    <n v="6442.253999999999"/>
    <s v="Debit Card"/>
    <s v="SAVE10"/>
    <n v="0"/>
    <s v="REG100394"/>
    <s v="Cust 7687"/>
    <n v="29.24"/>
    <d v="2025-04-09T00:00:00"/>
    <d v="2025-04-19T00:00:00"/>
    <s v="Wendy"/>
    <x v="28"/>
    <x v="6"/>
  </r>
  <r>
    <d v="2023-11-05T00:00:00"/>
    <x v="2"/>
    <x v="4"/>
    <n v="6"/>
    <n v="449.57"/>
    <s v="Store D"/>
    <s v="Wholesale"/>
    <n v="0"/>
    <x v="2"/>
    <n v="2697.42"/>
    <s v="Gift Card"/>
    <s v="WINTER15"/>
    <n v="0"/>
    <s v="REG100395"/>
    <s v="Cust 6511"/>
    <n v="23.09"/>
    <d v="2023-11-05T00:00:00"/>
    <d v="2023-11-12T00:00:00"/>
    <s v="Ryan"/>
    <x v="15"/>
    <x v="12"/>
  </r>
  <r>
    <d v="2023-01-13T00:00:00"/>
    <x v="0"/>
    <x v="0"/>
    <n v="9"/>
    <n v="223.01"/>
    <s v="Store C"/>
    <s v="Retail"/>
    <n v="0"/>
    <x v="4"/>
    <n v="2007.09"/>
    <s v="Cash"/>
    <m/>
    <n v="1"/>
    <s v="REG100396"/>
    <s v="Cust 2412"/>
    <n v="11.9"/>
    <d v="2023-01-13T00:00:00"/>
    <d v="2023-01-19T00:00:00"/>
    <s v="Eric"/>
    <x v="6"/>
    <x v="0"/>
  </r>
  <r>
    <d v="2025-02-06T00:00:00"/>
    <x v="4"/>
    <x v="3"/>
    <n v="14"/>
    <n v="291.91000000000003"/>
    <s v="Store A"/>
    <s v="Retail"/>
    <n v="0.15"/>
    <x v="2"/>
    <n v="3473.7289999999998"/>
    <s v="Credit Card"/>
    <m/>
    <n v="0"/>
    <s v="REG100397"/>
    <s v="Cust 1664"/>
    <n v="27.51"/>
    <d v="2025-02-06T00:00:00"/>
    <d v="2025-02-10T00:00:00"/>
    <s v="Wendy"/>
    <x v="3"/>
    <x v="3"/>
  </r>
  <r>
    <d v="2023-05-20T00:00:00"/>
    <x v="1"/>
    <x v="4"/>
    <n v="13"/>
    <n v="90.86"/>
    <s v="Store A"/>
    <s v="Wholesale"/>
    <n v="0"/>
    <x v="3"/>
    <n v="1181.18"/>
    <s v="Gift Card"/>
    <s v="SAVE10"/>
    <n v="0"/>
    <s v="REG100398"/>
    <s v="Cust 6033"/>
    <n v="16.739999999999998"/>
    <d v="2023-05-20T00:00:00"/>
    <d v="2023-05-25T00:00:00"/>
    <s v="Sophie"/>
    <x v="2"/>
    <x v="2"/>
  </r>
  <r>
    <d v="2025-06-18T00:00:00"/>
    <x v="0"/>
    <x v="2"/>
    <n v="4"/>
    <n v="109.05"/>
    <s v="Store D"/>
    <s v="Wholesale"/>
    <n v="0"/>
    <x v="4"/>
    <n v="436.2"/>
    <s v="Gift Card"/>
    <s v="WINTER15"/>
    <n v="0"/>
    <s v="REG100399"/>
    <s v="Cust 4019"/>
    <n v="21.02"/>
    <d v="2025-06-18T00:00:00"/>
    <d v="2025-06-24T00:00:00"/>
    <s v="Eric"/>
    <x v="16"/>
    <x v="10"/>
  </r>
  <r>
    <d v="2023-02-23T00:00:00"/>
    <x v="4"/>
    <x v="5"/>
    <n v="12"/>
    <n v="245.6"/>
    <s v="Store D"/>
    <s v="Retail"/>
    <n v="0"/>
    <x v="5"/>
    <n v="2947.2"/>
    <s v="Cash"/>
    <s v="FREESHIP"/>
    <n v="1"/>
    <s v="REG100400"/>
    <s v="Cust 4515"/>
    <n v="43.92"/>
    <d v="2023-02-23T00:00:00"/>
    <d v="2023-02-27T00:00:00"/>
    <s v="Wendy"/>
    <x v="0"/>
    <x v="0"/>
  </r>
  <r>
    <d v="2024-11-09T00:00:00"/>
    <x v="0"/>
    <x v="6"/>
    <n v="15"/>
    <n v="380.03"/>
    <s v="Store A"/>
    <s v="Retail"/>
    <n v="0"/>
    <x v="5"/>
    <n v="5700.45"/>
    <s v="Online"/>
    <m/>
    <n v="0"/>
    <s v="REG100401"/>
    <s v="Cust 7532"/>
    <n v="25.72"/>
    <d v="2024-11-09T00:00:00"/>
    <d v="2024-11-12T00:00:00"/>
    <s v="Eric"/>
    <x v="20"/>
    <x v="1"/>
  </r>
  <r>
    <d v="2024-07-25T00:00:00"/>
    <x v="1"/>
    <x v="5"/>
    <n v="3"/>
    <n v="417.58"/>
    <s v="Store D"/>
    <s v="Retail"/>
    <n v="0.05"/>
    <x v="2"/>
    <n v="1190.1030000000001"/>
    <s v="Gift Card"/>
    <s v="SAVE10"/>
    <n v="0"/>
    <s v="REG100402"/>
    <s v="Cust 8756"/>
    <n v="43.42"/>
    <d v="2024-07-25T00:00:00"/>
    <d v="2024-07-31T00:00:00"/>
    <s v="Sophie"/>
    <x v="10"/>
    <x v="8"/>
  </r>
  <r>
    <d v="2023-08-19T00:00:00"/>
    <x v="4"/>
    <x v="0"/>
    <n v="15"/>
    <n v="432.17"/>
    <s v="Store D"/>
    <s v="Wholesale"/>
    <n v="0.15"/>
    <x v="2"/>
    <n v="5510.1674999999996"/>
    <s v="Debit Card"/>
    <s v="WINTER15"/>
    <n v="0"/>
    <s v="REG100403"/>
    <s v="Cust 7620"/>
    <n v="44.88"/>
    <d v="2023-08-19T00:00:00"/>
    <d v="2023-08-23T00:00:00"/>
    <s v="Wendy"/>
    <x v="18"/>
    <x v="9"/>
  </r>
  <r>
    <d v="2023-11-13T00:00:00"/>
    <x v="1"/>
    <x v="4"/>
    <n v="13"/>
    <n v="531.77"/>
    <s v="Store C"/>
    <s v="Retail"/>
    <n v="0.1"/>
    <x v="5"/>
    <n v="6221.7090000000007"/>
    <s v="Online"/>
    <s v="SAVE10"/>
    <n v="0"/>
    <s v="REG100404"/>
    <s v="Cust 7368"/>
    <n v="37.909999999999997"/>
    <d v="2023-11-13T00:00:00"/>
    <d v="2023-11-15T00:00:00"/>
    <s v="Sophie"/>
    <x v="15"/>
    <x v="12"/>
  </r>
  <r>
    <d v="2024-09-10T00:00:00"/>
    <x v="4"/>
    <x v="5"/>
    <n v="13"/>
    <n v="442.99"/>
    <s v="Store A"/>
    <s v="Wholesale"/>
    <n v="0.05"/>
    <x v="1"/>
    <n v="5470.9264999999996"/>
    <s v="Gift Card"/>
    <s v="SAVE10"/>
    <n v="0"/>
    <s v="REG100405"/>
    <s v="Cust 1319"/>
    <n v="37.119999999999997"/>
    <d v="2024-09-10T00:00:00"/>
    <d v="2024-09-18T00:00:00"/>
    <s v="Wendy"/>
    <x v="26"/>
    <x v="5"/>
  </r>
  <r>
    <d v="2024-08-30T00:00:00"/>
    <x v="3"/>
    <x v="3"/>
    <n v="13"/>
    <n v="567.5"/>
    <s v="Store A"/>
    <s v="Retail"/>
    <n v="0"/>
    <x v="0"/>
    <n v="7377.5"/>
    <s v="Credit Card"/>
    <m/>
    <n v="0"/>
    <s v="REG100406"/>
    <s v="Cust 9597"/>
    <n v="28.41"/>
    <d v="2024-08-30T00:00:00"/>
    <d v="2024-09-02T00:00:00"/>
    <s v="Cameron"/>
    <x v="29"/>
    <x v="5"/>
  </r>
  <r>
    <d v="2024-11-10T00:00:00"/>
    <x v="0"/>
    <x v="5"/>
    <n v="15"/>
    <n v="469.52"/>
    <s v="Store C"/>
    <s v="Wholesale"/>
    <n v="0"/>
    <x v="1"/>
    <n v="7042.7999999999993"/>
    <s v="Credit Card"/>
    <s v="FREESHIP"/>
    <n v="0"/>
    <s v="REG100407"/>
    <s v="Cust 7369"/>
    <n v="35.6"/>
    <d v="2024-11-10T00:00:00"/>
    <d v="2024-11-17T00:00:00"/>
    <s v="Eric"/>
    <x v="20"/>
    <x v="1"/>
  </r>
  <r>
    <d v="2023-04-13T00:00:00"/>
    <x v="0"/>
    <x v="6"/>
    <n v="1"/>
    <n v="396.09"/>
    <s v="Store D"/>
    <s v="Wholesale"/>
    <n v="0.15"/>
    <x v="2"/>
    <n v="336.67649999999998"/>
    <s v="Credit Card"/>
    <s v="WINTER15"/>
    <n v="0"/>
    <s v="REG100408"/>
    <s v="Cust 8592"/>
    <n v="39.380000000000003"/>
    <d v="2023-04-13T00:00:00"/>
    <d v="2023-04-19T00:00:00"/>
    <s v="Eric"/>
    <x v="21"/>
    <x v="13"/>
  </r>
  <r>
    <d v="2023-11-20T00:00:00"/>
    <x v="0"/>
    <x v="0"/>
    <n v="12"/>
    <n v="195.73"/>
    <s v="Store C"/>
    <s v="Wholesale"/>
    <n v="0.05"/>
    <x v="1"/>
    <n v="2231.3220000000001"/>
    <s v="Cash"/>
    <s v="SAVE10"/>
    <n v="0"/>
    <s v="REG100409"/>
    <s v="Cust 2337"/>
    <n v="37.090000000000003"/>
    <d v="2023-11-20T00:00:00"/>
    <d v="2023-11-27T00:00:00"/>
    <s v="Eric"/>
    <x v="15"/>
    <x v="12"/>
  </r>
  <r>
    <d v="2025-04-14T00:00:00"/>
    <x v="2"/>
    <x v="6"/>
    <n v="5"/>
    <n v="412.24"/>
    <s v="Store B"/>
    <s v="Wholesale"/>
    <n v="0.15"/>
    <x v="3"/>
    <n v="1752.02"/>
    <s v="Cash"/>
    <s v="FREESHIP"/>
    <n v="0"/>
    <s v="REG100410"/>
    <s v="Cust 9697"/>
    <n v="29.31"/>
    <d v="2025-04-14T00:00:00"/>
    <d v="2025-04-19T00:00:00"/>
    <s v="Ryan"/>
    <x v="28"/>
    <x v="6"/>
  </r>
  <r>
    <d v="2023-03-04T00:00:00"/>
    <x v="3"/>
    <x v="4"/>
    <n v="11"/>
    <n v="558.5"/>
    <s v="Store B"/>
    <s v="Retail"/>
    <n v="0.15"/>
    <x v="3"/>
    <n v="5221.9749999999995"/>
    <s v="Cash"/>
    <s v="WINTER15"/>
    <n v="0"/>
    <s v="REG100411"/>
    <s v="Cust 5895"/>
    <n v="48.15"/>
    <d v="2023-03-04T00:00:00"/>
    <d v="2023-03-09T00:00:00"/>
    <s v="Cameron"/>
    <x v="17"/>
    <x v="13"/>
  </r>
  <r>
    <d v="2024-11-16T00:00:00"/>
    <x v="2"/>
    <x v="0"/>
    <n v="4"/>
    <n v="175.34"/>
    <s v="Store C"/>
    <s v="Retail"/>
    <n v="0.15"/>
    <x v="0"/>
    <n v="596.15599999999995"/>
    <s v="Cash"/>
    <s v="FREESHIP"/>
    <n v="0"/>
    <s v="REG100412"/>
    <s v="Cust 9097"/>
    <n v="40.86"/>
    <d v="2024-11-16T00:00:00"/>
    <d v="2024-11-19T00:00:00"/>
    <s v="Ryan"/>
    <x v="20"/>
    <x v="1"/>
  </r>
  <r>
    <d v="2024-05-25T00:00:00"/>
    <x v="1"/>
    <x v="0"/>
    <n v="19"/>
    <n v="478.73"/>
    <s v="Store A"/>
    <s v="Retail"/>
    <n v="0"/>
    <x v="2"/>
    <n v="9095.8700000000008"/>
    <s v="Debit Card"/>
    <s v="WINTER15"/>
    <n v="1"/>
    <s v="REG100413"/>
    <s v="Cust 5938"/>
    <n v="46.46"/>
    <d v="2024-05-25T00:00:00"/>
    <d v="2024-06-02T00:00:00"/>
    <s v="Sophie"/>
    <x v="14"/>
    <x v="11"/>
  </r>
  <r>
    <d v="2023-04-12T00:00:00"/>
    <x v="0"/>
    <x v="2"/>
    <n v="5"/>
    <n v="365.38"/>
    <s v="Store D"/>
    <s v="Wholesale"/>
    <n v="0.15"/>
    <x v="1"/>
    <n v="1552.865"/>
    <s v="Debit Card"/>
    <s v="SAVE10"/>
    <n v="1"/>
    <s v="REG100414"/>
    <s v="Cust 6928"/>
    <n v="5.66"/>
    <d v="2023-04-12T00:00:00"/>
    <d v="2023-04-15T00:00:00"/>
    <s v="Eric"/>
    <x v="21"/>
    <x v="13"/>
  </r>
  <r>
    <d v="2023-03-07T00:00:00"/>
    <x v="1"/>
    <x v="2"/>
    <n v="10"/>
    <n v="397.33"/>
    <s v="Store B"/>
    <s v="Retail"/>
    <n v="0.15"/>
    <x v="1"/>
    <n v="3377.3049999999998"/>
    <s v="Credit Card"/>
    <m/>
    <n v="0"/>
    <s v="REG100415"/>
    <s v="Cust 6223"/>
    <n v="10.199999999999999"/>
    <d v="2023-03-07T00:00:00"/>
    <d v="2023-03-13T00:00:00"/>
    <s v="Sophie"/>
    <x v="17"/>
    <x v="13"/>
  </r>
  <r>
    <d v="2024-01-05T00:00:00"/>
    <x v="3"/>
    <x v="3"/>
    <n v="17"/>
    <n v="241.01"/>
    <s v="Store A"/>
    <s v="Retail"/>
    <n v="0.1"/>
    <x v="5"/>
    <n v="3687.453"/>
    <s v="Debit Card"/>
    <s v="WINTER15"/>
    <n v="0"/>
    <s v="REG100416"/>
    <s v="Cust 7614"/>
    <n v="24.69"/>
    <d v="2024-01-05T00:00:00"/>
    <d v="2024-01-11T00:00:00"/>
    <s v="Cameron"/>
    <x v="24"/>
    <x v="4"/>
  </r>
  <r>
    <d v="2024-10-31T00:00:00"/>
    <x v="4"/>
    <x v="2"/>
    <n v="17"/>
    <n v="82.2"/>
    <s v="Store C"/>
    <s v="Wholesale"/>
    <n v="0"/>
    <x v="1"/>
    <n v="1397.4"/>
    <s v="Cash"/>
    <s v="WINTER15"/>
    <n v="0"/>
    <s v="REG100417"/>
    <s v="Cust 3231"/>
    <n v="32.5"/>
    <d v="2024-10-31T00:00:00"/>
    <d v="2024-11-10T00:00:00"/>
    <s v="Wendy"/>
    <x v="7"/>
    <x v="1"/>
  </r>
  <r>
    <d v="2024-05-08T00:00:00"/>
    <x v="4"/>
    <x v="4"/>
    <n v="16"/>
    <n v="170.77"/>
    <s v="Store C"/>
    <s v="Retail"/>
    <n v="0.1"/>
    <x v="2"/>
    <n v="2459.0880000000002"/>
    <s v="Online"/>
    <s v="SAVE10"/>
    <n v="1"/>
    <s v="REG100418"/>
    <s v="Cust 9123"/>
    <n v="45.93"/>
    <d v="2024-05-08T00:00:00"/>
    <d v="2024-05-14T00:00:00"/>
    <s v="Wendy"/>
    <x v="14"/>
    <x v="11"/>
  </r>
  <r>
    <d v="2024-03-05T00:00:00"/>
    <x v="3"/>
    <x v="4"/>
    <n v="1"/>
    <n v="8.1999999999999993"/>
    <s v="Store C"/>
    <s v="Wholesale"/>
    <n v="0.15"/>
    <x v="2"/>
    <n v="6.9699999999999989"/>
    <s v="Debit Card"/>
    <m/>
    <n v="0"/>
    <s v="REG100419"/>
    <s v="Cust 7054"/>
    <n v="30.35"/>
    <d v="2024-03-05T00:00:00"/>
    <d v="2024-03-15T00:00:00"/>
    <s v="Cameron"/>
    <x v="25"/>
    <x v="7"/>
  </r>
  <r>
    <d v="2023-07-18T00:00:00"/>
    <x v="2"/>
    <x v="0"/>
    <n v="12"/>
    <n v="425.78"/>
    <s v="Store A"/>
    <s v="Retail"/>
    <n v="0.1"/>
    <x v="5"/>
    <n v="4598.424"/>
    <s v="Online"/>
    <m/>
    <n v="1"/>
    <s v="REG100420"/>
    <s v="Cust 4240"/>
    <n v="25.48"/>
    <d v="2023-07-18T00:00:00"/>
    <d v="2023-07-22T00:00:00"/>
    <s v="Ryan"/>
    <x v="11"/>
    <x v="9"/>
  </r>
  <r>
    <d v="2023-08-05T00:00:00"/>
    <x v="1"/>
    <x v="6"/>
    <n v="20"/>
    <n v="121.14"/>
    <s v="Store C"/>
    <s v="Retail"/>
    <n v="0.1"/>
    <x v="5"/>
    <n v="2180.52"/>
    <s v="Credit Card"/>
    <s v="FREESHIP"/>
    <n v="0"/>
    <s v="REG100421"/>
    <s v="Cust 1237"/>
    <n v="21.47"/>
    <d v="2023-08-05T00:00:00"/>
    <d v="2023-08-14T00:00:00"/>
    <s v="Sophie"/>
    <x v="18"/>
    <x v="9"/>
  </r>
  <r>
    <d v="2023-09-18T00:00:00"/>
    <x v="4"/>
    <x v="5"/>
    <n v="19"/>
    <n v="448.13"/>
    <s v="Store D"/>
    <s v="Wholesale"/>
    <n v="0"/>
    <x v="1"/>
    <n v="8514.4699999999993"/>
    <s v="Debit Card"/>
    <s v="FREESHIP"/>
    <n v="0"/>
    <s v="REG100422"/>
    <s v="Cust 5513"/>
    <n v="28.29"/>
    <d v="2023-09-18T00:00:00"/>
    <d v="2023-09-20T00:00:00"/>
    <s v="Wendy"/>
    <x v="22"/>
    <x v="14"/>
  </r>
  <r>
    <d v="2023-03-27T00:00:00"/>
    <x v="1"/>
    <x v="0"/>
    <n v="8"/>
    <n v="7.81"/>
    <s v="Store D"/>
    <s v="Wholesale"/>
    <n v="0.1"/>
    <x v="2"/>
    <n v="56.231999999999999"/>
    <s v="Online"/>
    <s v="SAVE10"/>
    <n v="0"/>
    <s v="REG100423"/>
    <s v="Cust 1835"/>
    <n v="25.03"/>
    <d v="2023-03-27T00:00:00"/>
    <d v="2023-03-29T00:00:00"/>
    <s v="Sophie"/>
    <x v="17"/>
    <x v="13"/>
  </r>
  <r>
    <d v="2023-03-08T00:00:00"/>
    <x v="0"/>
    <x v="3"/>
    <n v="19"/>
    <n v="191.44"/>
    <s v="Store C"/>
    <s v="Wholesale"/>
    <n v="0.15"/>
    <x v="3"/>
    <n v="3091.7559999999999"/>
    <s v="Cash"/>
    <s v="WINTER15"/>
    <n v="1"/>
    <s v="REG100424"/>
    <s v="Cust 8492"/>
    <n v="35.54"/>
    <d v="2023-03-08T00:00:00"/>
    <d v="2023-03-17T00:00:00"/>
    <s v="Eric"/>
    <x v="17"/>
    <x v="13"/>
  </r>
  <r>
    <d v="2024-05-02T00:00:00"/>
    <x v="4"/>
    <x v="2"/>
    <n v="5"/>
    <n v="245.2"/>
    <s v="Store B"/>
    <s v="Retail"/>
    <n v="0.15"/>
    <x v="0"/>
    <n v="1042.0999999999999"/>
    <s v="Online"/>
    <m/>
    <n v="0"/>
    <s v="REG100425"/>
    <s v="Cust 2451"/>
    <n v="46.37"/>
    <d v="2024-05-02T00:00:00"/>
    <d v="2024-05-06T00:00:00"/>
    <s v="Wendy"/>
    <x v="14"/>
    <x v="11"/>
  </r>
  <r>
    <d v="2023-09-16T00:00:00"/>
    <x v="2"/>
    <x v="2"/>
    <n v="17"/>
    <n v="163.37"/>
    <s v="Store B"/>
    <s v="Wholesale"/>
    <n v="0.15"/>
    <x v="0"/>
    <n v="2360.6965"/>
    <s v="Gift Card"/>
    <s v="SAVE10"/>
    <n v="0"/>
    <s v="REG100426"/>
    <s v="Cust 4509"/>
    <n v="5.36"/>
    <d v="2023-09-16T00:00:00"/>
    <d v="2023-09-26T00:00:00"/>
    <s v="Ryan"/>
    <x v="22"/>
    <x v="14"/>
  </r>
  <r>
    <d v="2023-06-13T00:00:00"/>
    <x v="1"/>
    <x v="5"/>
    <n v="14"/>
    <n v="583.96"/>
    <s v="Store C"/>
    <s v="Retail"/>
    <n v="0"/>
    <x v="4"/>
    <n v="8175.4400000000014"/>
    <s v="Debit Card"/>
    <s v="WINTER15"/>
    <n v="0"/>
    <s v="REG100427"/>
    <s v="Cust 6643"/>
    <n v="23.03"/>
    <d v="2023-06-13T00:00:00"/>
    <d v="2023-06-22T00:00:00"/>
    <s v="Sophie"/>
    <x v="4"/>
    <x v="2"/>
  </r>
  <r>
    <d v="2023-11-05T00:00:00"/>
    <x v="2"/>
    <x v="2"/>
    <n v="16"/>
    <n v="181.08"/>
    <s v="Store C"/>
    <s v="Retail"/>
    <n v="0.1"/>
    <x v="3"/>
    <n v="2607.5520000000001"/>
    <s v="Online"/>
    <s v="WINTER15"/>
    <n v="0"/>
    <s v="REG100428"/>
    <s v="Cust 2559"/>
    <n v="39.840000000000003"/>
    <d v="2023-11-05T00:00:00"/>
    <d v="2023-11-08T00:00:00"/>
    <s v="Ryan"/>
    <x v="15"/>
    <x v="12"/>
  </r>
  <r>
    <d v="2024-11-23T00:00:00"/>
    <x v="1"/>
    <x v="5"/>
    <n v="8"/>
    <n v="414.94"/>
    <s v="Store A"/>
    <s v="Wholesale"/>
    <n v="0"/>
    <x v="1"/>
    <n v="3319.52"/>
    <s v="Debit Card"/>
    <s v="SAVE10"/>
    <n v="0"/>
    <s v="REG100429"/>
    <s v="Cust 4423"/>
    <n v="46.58"/>
    <d v="2024-11-23T00:00:00"/>
    <d v="2024-11-26T00:00:00"/>
    <s v="Sophie"/>
    <x v="20"/>
    <x v="1"/>
  </r>
  <r>
    <d v="2024-02-09T00:00:00"/>
    <x v="3"/>
    <x v="1"/>
    <n v="16"/>
    <n v="442.22"/>
    <s v="Store B"/>
    <s v="Retail"/>
    <n v="0"/>
    <x v="1"/>
    <n v="7075.52"/>
    <s v="Cash"/>
    <s v="FREESHIP"/>
    <n v="0"/>
    <s v="REG100430"/>
    <s v="Cust 9139"/>
    <n v="27.36"/>
    <d v="2024-02-09T00:00:00"/>
    <d v="2024-02-18T00:00:00"/>
    <s v="Cameron"/>
    <x v="5"/>
    <x v="4"/>
  </r>
  <r>
    <d v="2023-11-16T00:00:00"/>
    <x v="3"/>
    <x v="6"/>
    <n v="14"/>
    <n v="595.39"/>
    <s v="Store A"/>
    <s v="Wholesale"/>
    <n v="0.1"/>
    <x v="5"/>
    <n v="7501.9139999999998"/>
    <s v="Credit Card"/>
    <s v="SAVE10"/>
    <n v="0"/>
    <s v="REG100431"/>
    <s v="Cust 6668"/>
    <n v="9.51"/>
    <d v="2023-11-16T00:00:00"/>
    <d v="2023-11-22T00:00:00"/>
    <s v="Cameron"/>
    <x v="15"/>
    <x v="12"/>
  </r>
  <r>
    <d v="2025-01-24T00:00:00"/>
    <x v="3"/>
    <x v="4"/>
    <n v="6"/>
    <n v="175.3"/>
    <s v="Store A"/>
    <s v="Wholesale"/>
    <n v="0.15"/>
    <x v="1"/>
    <n v="894.03000000000009"/>
    <s v="Cash"/>
    <s v="SAVE10"/>
    <n v="1"/>
    <s v="REG100432"/>
    <s v="Cust 4315"/>
    <n v="17.920000000000002"/>
    <d v="2025-01-24T00:00:00"/>
    <d v="2025-01-29T00:00:00"/>
    <s v="Cameron"/>
    <x v="12"/>
    <x v="3"/>
  </r>
  <r>
    <d v="2025-05-06T00:00:00"/>
    <x v="3"/>
    <x v="5"/>
    <n v="7"/>
    <n v="319.58999999999997"/>
    <s v="Store C"/>
    <s v="Wholesale"/>
    <n v="0.15"/>
    <x v="3"/>
    <n v="1901.5605"/>
    <s v="Gift Card"/>
    <s v="WINTER15"/>
    <n v="1"/>
    <s v="REG100433"/>
    <s v="Cust 8000"/>
    <n v="8.4700000000000006"/>
    <d v="2025-05-06T00:00:00"/>
    <d v="2025-05-09T00:00:00"/>
    <s v="Cameron"/>
    <x v="13"/>
    <x v="10"/>
  </r>
  <r>
    <d v="2025-05-17T00:00:00"/>
    <x v="0"/>
    <x v="6"/>
    <n v="15"/>
    <n v="506.81"/>
    <s v="Store A"/>
    <s v="Retail"/>
    <n v="0.15"/>
    <x v="5"/>
    <n v="6461.8274999999994"/>
    <s v="Cash"/>
    <s v="FREESHIP"/>
    <n v="1"/>
    <s v="REG100434"/>
    <s v="Cust 7585"/>
    <n v="41.03"/>
    <d v="2025-05-17T00:00:00"/>
    <d v="2025-05-27T00:00:00"/>
    <s v="Eric"/>
    <x v="13"/>
    <x v="10"/>
  </r>
  <r>
    <d v="2023-11-29T00:00:00"/>
    <x v="3"/>
    <x v="0"/>
    <n v="17"/>
    <n v="538.08000000000004"/>
    <s v="Store A"/>
    <s v="Retail"/>
    <n v="0.05"/>
    <x v="0"/>
    <n v="8689.9920000000002"/>
    <s v="Debit Card"/>
    <s v="FREESHIP"/>
    <n v="0"/>
    <s v="REG100435"/>
    <s v="Cust 3127"/>
    <n v="19.61"/>
    <d v="2023-11-29T00:00:00"/>
    <d v="2023-12-01T00:00:00"/>
    <s v="Cameron"/>
    <x v="15"/>
    <x v="12"/>
  </r>
  <r>
    <d v="2023-02-24T00:00:00"/>
    <x v="1"/>
    <x v="3"/>
    <n v="16"/>
    <n v="187.84"/>
    <s v="Store A"/>
    <s v="Retail"/>
    <n v="0"/>
    <x v="1"/>
    <n v="3005.44"/>
    <s v="Credit Card"/>
    <s v="SAVE10"/>
    <n v="0"/>
    <s v="REG100436"/>
    <s v="Cust 4130"/>
    <n v="18.649999999999999"/>
    <d v="2023-02-24T00:00:00"/>
    <d v="2023-02-26T00:00:00"/>
    <s v="Sophie"/>
    <x v="0"/>
    <x v="0"/>
  </r>
  <r>
    <d v="2023-11-04T00:00:00"/>
    <x v="1"/>
    <x v="0"/>
    <n v="18"/>
    <n v="426.3"/>
    <s v="Store A"/>
    <s v="Wholesale"/>
    <n v="0.15"/>
    <x v="3"/>
    <n v="6522.39"/>
    <s v="Credit Card"/>
    <m/>
    <n v="1"/>
    <s v="REG100437"/>
    <s v="Cust 6956"/>
    <n v="29.81"/>
    <d v="2023-11-04T00:00:00"/>
    <d v="2023-11-10T00:00:00"/>
    <s v="Sophie"/>
    <x v="15"/>
    <x v="12"/>
  </r>
  <r>
    <d v="2024-06-15T00:00:00"/>
    <x v="0"/>
    <x v="2"/>
    <n v="1"/>
    <n v="498.35"/>
    <s v="Store B"/>
    <s v="Retail"/>
    <n v="0.1"/>
    <x v="1"/>
    <n v="448.51499999999999"/>
    <s v="Online"/>
    <s v="FREESHIP"/>
    <n v="0"/>
    <s v="REG100438"/>
    <s v="Cust 8155"/>
    <n v="34.700000000000003"/>
    <d v="2024-06-15T00:00:00"/>
    <d v="2024-06-22T00:00:00"/>
    <s v="Eric"/>
    <x v="23"/>
    <x v="11"/>
  </r>
  <r>
    <d v="2024-10-02T00:00:00"/>
    <x v="2"/>
    <x v="5"/>
    <n v="19"/>
    <n v="385.72"/>
    <s v="Store A"/>
    <s v="Retail"/>
    <n v="0.05"/>
    <x v="3"/>
    <n v="6962.2460000000001"/>
    <s v="Cash"/>
    <s v="SAVE10"/>
    <n v="1"/>
    <s v="REG100439"/>
    <s v="Cust 8852"/>
    <n v="12.46"/>
    <d v="2024-10-02T00:00:00"/>
    <d v="2024-10-06T00:00:00"/>
    <s v="Ryan"/>
    <x v="7"/>
    <x v="5"/>
  </r>
  <r>
    <d v="2023-06-03T00:00:00"/>
    <x v="4"/>
    <x v="5"/>
    <n v="3"/>
    <n v="54.37"/>
    <s v="Store B"/>
    <s v="Wholesale"/>
    <n v="0.1"/>
    <x v="2"/>
    <n v="146.79900000000001"/>
    <s v="Credit Card"/>
    <s v="WINTER15"/>
    <n v="0"/>
    <s v="REG100440"/>
    <s v="Cust 2850"/>
    <n v="48.71"/>
    <d v="2023-06-03T00:00:00"/>
    <d v="2023-06-13T00:00:00"/>
    <s v="Wendy"/>
    <x v="4"/>
    <x v="2"/>
  </r>
  <r>
    <d v="2023-09-10T00:00:00"/>
    <x v="0"/>
    <x v="1"/>
    <n v="6"/>
    <n v="471.74"/>
    <s v="Store C"/>
    <s v="Retail"/>
    <n v="0.15"/>
    <x v="3"/>
    <n v="2405.8739999999998"/>
    <s v="Online"/>
    <m/>
    <n v="0"/>
    <s v="REG100441"/>
    <s v="Cust 9572"/>
    <n v="36.79"/>
    <d v="2023-09-10T00:00:00"/>
    <d v="2023-09-18T00:00:00"/>
    <s v="Eric"/>
    <x v="22"/>
    <x v="14"/>
  </r>
  <r>
    <d v="2025-05-20T00:00:00"/>
    <x v="3"/>
    <x v="6"/>
    <n v="19"/>
    <n v="322.31"/>
    <s v="Store B"/>
    <s v="Retail"/>
    <n v="0.15"/>
    <x v="5"/>
    <n v="5205.3065000000006"/>
    <s v="Cash"/>
    <s v="FREESHIP"/>
    <n v="0"/>
    <s v="REG100442"/>
    <s v="Cust 6253"/>
    <n v="33.950000000000003"/>
    <d v="2025-05-20T00:00:00"/>
    <d v="2025-05-22T00:00:00"/>
    <s v="Cameron"/>
    <x v="13"/>
    <x v="10"/>
  </r>
  <r>
    <d v="2023-09-24T00:00:00"/>
    <x v="2"/>
    <x v="5"/>
    <n v="13"/>
    <n v="115.86"/>
    <s v="Store A"/>
    <s v="Wholesale"/>
    <n v="0.1"/>
    <x v="4"/>
    <n v="1355.5619999999999"/>
    <s v="Cash"/>
    <m/>
    <n v="1"/>
    <s v="REG100443"/>
    <s v="Cust 4154"/>
    <n v="28.52"/>
    <d v="2023-09-24T00:00:00"/>
    <d v="2023-10-03T00:00:00"/>
    <s v="Ryan"/>
    <x v="22"/>
    <x v="14"/>
  </r>
  <r>
    <d v="2025-03-29T00:00:00"/>
    <x v="0"/>
    <x v="5"/>
    <n v="18"/>
    <n v="398.26"/>
    <s v="Store B"/>
    <s v="Retail"/>
    <n v="0.1"/>
    <x v="5"/>
    <n v="6451.8120000000008"/>
    <s v="Debit Card"/>
    <m/>
    <n v="0"/>
    <s v="REG100444"/>
    <s v="Cust 2137"/>
    <n v="16.8"/>
    <d v="2025-03-29T00:00:00"/>
    <d v="2025-04-04T00:00:00"/>
    <s v="Eric"/>
    <x v="8"/>
    <x v="6"/>
  </r>
  <r>
    <d v="2023-06-17T00:00:00"/>
    <x v="0"/>
    <x v="3"/>
    <n v="4"/>
    <n v="584.79999999999995"/>
    <s v="Store B"/>
    <s v="Retail"/>
    <n v="0.1"/>
    <x v="0"/>
    <n v="2105.2800000000002"/>
    <s v="Online"/>
    <s v="FREESHIP"/>
    <n v="0"/>
    <s v="REG100445"/>
    <s v="Cust 8157"/>
    <n v="16.440000000000001"/>
    <d v="2023-06-17T00:00:00"/>
    <d v="2023-06-25T00:00:00"/>
    <s v="Eric"/>
    <x v="4"/>
    <x v="2"/>
  </r>
  <r>
    <d v="2024-01-28T00:00:00"/>
    <x v="4"/>
    <x v="6"/>
    <n v="20"/>
    <n v="424.7"/>
    <s v="Store B"/>
    <s v="Wholesale"/>
    <n v="0.15"/>
    <x v="5"/>
    <n v="7219.9"/>
    <s v="Online"/>
    <s v="FREESHIP"/>
    <n v="0"/>
    <s v="REG100446"/>
    <s v="Cust 4861"/>
    <n v="42.03"/>
    <d v="2024-01-28T00:00:00"/>
    <d v="2024-02-05T00:00:00"/>
    <s v="Wendy"/>
    <x v="24"/>
    <x v="4"/>
  </r>
  <r>
    <d v="2023-03-14T00:00:00"/>
    <x v="3"/>
    <x v="3"/>
    <n v="16"/>
    <n v="179.22"/>
    <s v="Store D"/>
    <s v="Retail"/>
    <n v="0.1"/>
    <x v="1"/>
    <n v="2580.768"/>
    <s v="Online"/>
    <s v="WINTER15"/>
    <n v="0"/>
    <s v="REG100447"/>
    <s v="Cust 7493"/>
    <n v="45.99"/>
    <d v="2023-03-14T00:00:00"/>
    <d v="2023-03-17T00:00:00"/>
    <s v="Cameron"/>
    <x v="17"/>
    <x v="13"/>
  </r>
  <r>
    <d v="2025-01-09T00:00:00"/>
    <x v="0"/>
    <x v="0"/>
    <n v="12"/>
    <n v="148.66"/>
    <s v="Store A"/>
    <s v="Wholesale"/>
    <n v="0"/>
    <x v="4"/>
    <n v="1783.92"/>
    <s v="Online"/>
    <m/>
    <n v="1"/>
    <s v="REG100448"/>
    <s v="Cust 7073"/>
    <n v="27.16"/>
    <d v="2025-01-09T00:00:00"/>
    <d v="2025-01-17T00:00:00"/>
    <s v="Eric"/>
    <x v="12"/>
    <x v="3"/>
  </r>
  <r>
    <d v="2025-03-30T00:00:00"/>
    <x v="3"/>
    <x v="1"/>
    <n v="16"/>
    <n v="460.43"/>
    <s v="Store B"/>
    <s v="Wholesale"/>
    <n v="0.15"/>
    <x v="5"/>
    <n v="6261.848"/>
    <s v="Online"/>
    <s v="WINTER15"/>
    <n v="0"/>
    <s v="REG100449"/>
    <s v="Cust 9085"/>
    <n v="20.38"/>
    <d v="2025-03-30T00:00:00"/>
    <d v="2025-04-06T00:00:00"/>
    <s v="Cameron"/>
    <x v="8"/>
    <x v="6"/>
  </r>
  <r>
    <d v="2023-10-23T00:00:00"/>
    <x v="0"/>
    <x v="5"/>
    <n v="5"/>
    <n v="334.37"/>
    <s v="Store B"/>
    <s v="Retail"/>
    <n v="0.05"/>
    <x v="3"/>
    <n v="1588.2574999999999"/>
    <s v="Credit Card"/>
    <m/>
    <n v="0"/>
    <s v="REG100450"/>
    <s v="Cust 3247"/>
    <n v="32.130000000000003"/>
    <d v="2023-10-23T00:00:00"/>
    <d v="2023-10-28T00:00:00"/>
    <s v="Eric"/>
    <x v="19"/>
    <x v="14"/>
  </r>
  <r>
    <d v="2025-06-08T00:00:00"/>
    <x v="4"/>
    <x v="4"/>
    <n v="3"/>
    <n v="599.72"/>
    <s v="Store D"/>
    <s v="Retail"/>
    <n v="0.15"/>
    <x v="1"/>
    <n v="1529.2860000000001"/>
    <s v="Online"/>
    <s v="WINTER15"/>
    <n v="1"/>
    <s v="REG100451"/>
    <s v="Cust 8504"/>
    <n v="14.93"/>
    <d v="2025-06-08T00:00:00"/>
    <d v="2025-06-14T00:00:00"/>
    <s v="Wendy"/>
    <x v="16"/>
    <x v="10"/>
  </r>
  <r>
    <d v="2024-02-26T00:00:00"/>
    <x v="4"/>
    <x v="4"/>
    <n v="11"/>
    <n v="389.84"/>
    <s v="Store D"/>
    <s v="Wholesale"/>
    <n v="0"/>
    <x v="1"/>
    <n v="4288.24"/>
    <s v="Gift Card"/>
    <s v="SAVE10"/>
    <n v="1"/>
    <s v="REG100452"/>
    <s v="Cust 4164"/>
    <n v="10.24"/>
    <d v="2024-02-26T00:00:00"/>
    <d v="2024-02-29T00:00:00"/>
    <s v="Wendy"/>
    <x v="5"/>
    <x v="4"/>
  </r>
  <r>
    <d v="2024-10-30T00:00:00"/>
    <x v="0"/>
    <x v="3"/>
    <n v="11"/>
    <n v="445.75"/>
    <s v="Store A"/>
    <s v="Wholesale"/>
    <n v="0.1"/>
    <x v="2"/>
    <n v="4412.9250000000002"/>
    <s v="Online"/>
    <s v="SAVE10"/>
    <n v="0"/>
    <s v="REG100453"/>
    <s v="Cust 9592"/>
    <n v="18.07"/>
    <d v="2024-10-30T00:00:00"/>
    <d v="2024-11-07T00:00:00"/>
    <s v="Eric"/>
    <x v="7"/>
    <x v="5"/>
  </r>
  <r>
    <d v="2024-08-19T00:00:00"/>
    <x v="1"/>
    <x v="0"/>
    <n v="18"/>
    <n v="96.84"/>
    <s v="Store A"/>
    <s v="Wholesale"/>
    <n v="0.15"/>
    <x v="2"/>
    <n v="1481.652"/>
    <s v="Cash"/>
    <s v="SAVE10"/>
    <n v="1"/>
    <s v="REG100454"/>
    <s v="Cust 7450"/>
    <n v="8.1"/>
    <d v="2024-08-19T00:00:00"/>
    <d v="2024-08-23T00:00:00"/>
    <s v="Sophie"/>
    <x v="29"/>
    <x v="8"/>
  </r>
  <r>
    <d v="2023-07-30T00:00:00"/>
    <x v="3"/>
    <x v="3"/>
    <n v="1"/>
    <n v="528.30999999999995"/>
    <s v="Store C"/>
    <s v="Wholesale"/>
    <n v="0.1"/>
    <x v="1"/>
    <n v="475.47899999999998"/>
    <s v="Online"/>
    <s v="FREESHIP"/>
    <n v="0"/>
    <s v="REG100455"/>
    <s v="Cust 4186"/>
    <n v="24.55"/>
    <d v="2023-07-30T00:00:00"/>
    <d v="2023-08-09T00:00:00"/>
    <s v="Cameron"/>
    <x v="11"/>
    <x v="9"/>
  </r>
  <r>
    <d v="2024-08-13T00:00:00"/>
    <x v="2"/>
    <x v="4"/>
    <n v="16"/>
    <n v="64.03"/>
    <s v="Store A"/>
    <s v="Wholesale"/>
    <n v="0"/>
    <x v="3"/>
    <n v="1024.48"/>
    <s v="Gift Card"/>
    <s v="WINTER15"/>
    <n v="1"/>
    <s v="REG100456"/>
    <s v="Cust 3305"/>
    <n v="16.71"/>
    <d v="2024-08-13T00:00:00"/>
    <d v="2024-08-23T00:00:00"/>
    <s v="Ryan"/>
    <x v="29"/>
    <x v="8"/>
  </r>
  <r>
    <d v="2023-11-04T00:00:00"/>
    <x v="2"/>
    <x v="6"/>
    <n v="13"/>
    <n v="179.37"/>
    <s v="Store A"/>
    <s v="Retail"/>
    <n v="0.05"/>
    <x v="0"/>
    <n v="2215.2195000000002"/>
    <s v="Online"/>
    <s v="FREESHIP"/>
    <n v="0"/>
    <s v="REG100457"/>
    <s v="Cust 9768"/>
    <n v="35.28"/>
    <d v="2023-11-04T00:00:00"/>
    <d v="2023-11-12T00:00:00"/>
    <s v="Ryan"/>
    <x v="15"/>
    <x v="12"/>
  </r>
  <r>
    <d v="2025-06-05T00:00:00"/>
    <x v="0"/>
    <x v="6"/>
    <n v="19"/>
    <n v="491.15"/>
    <s v="Store C"/>
    <s v="Retail"/>
    <n v="0"/>
    <x v="2"/>
    <n v="9331.85"/>
    <s v="Online"/>
    <m/>
    <n v="0"/>
    <s v="REG100458"/>
    <s v="Cust 1179"/>
    <n v="48.68"/>
    <d v="2025-06-05T00:00:00"/>
    <d v="2025-06-15T00:00:00"/>
    <s v="Eric"/>
    <x v="16"/>
    <x v="10"/>
  </r>
  <r>
    <d v="2023-06-23T00:00:00"/>
    <x v="2"/>
    <x v="6"/>
    <n v="5"/>
    <n v="360.34"/>
    <s v="Store C"/>
    <s v="Wholesale"/>
    <n v="0"/>
    <x v="3"/>
    <n v="1801.7"/>
    <s v="Gift Card"/>
    <m/>
    <n v="0"/>
    <s v="REG100459"/>
    <s v="Cust 2546"/>
    <n v="33.76"/>
    <d v="2023-06-23T00:00:00"/>
    <d v="2023-06-28T00:00:00"/>
    <s v="Ryan"/>
    <x v="4"/>
    <x v="2"/>
  </r>
  <r>
    <d v="2024-09-21T00:00:00"/>
    <x v="1"/>
    <x v="0"/>
    <n v="20"/>
    <n v="296.8"/>
    <s v="Store A"/>
    <s v="Retail"/>
    <n v="0.1"/>
    <x v="2"/>
    <n v="5342.4000000000005"/>
    <s v="Gift Card"/>
    <m/>
    <n v="0"/>
    <s v="REG100460"/>
    <s v="Cust 2672"/>
    <n v="19.57"/>
    <d v="2024-09-21T00:00:00"/>
    <d v="2024-09-28T00:00:00"/>
    <s v="Sophie"/>
    <x v="26"/>
    <x v="5"/>
  </r>
  <r>
    <d v="2024-01-01T00:00:00"/>
    <x v="1"/>
    <x v="2"/>
    <n v="3"/>
    <n v="599.41999999999996"/>
    <s v="Store A"/>
    <s v="Wholesale"/>
    <n v="0.1"/>
    <x v="5"/>
    <n v="1618.434"/>
    <s v="Online"/>
    <s v="SAVE10"/>
    <n v="0"/>
    <s v="REG100461"/>
    <s v="Cust 3394"/>
    <n v="48.02"/>
    <d v="2024-01-01T00:00:00"/>
    <d v="2024-01-03T00:00:00"/>
    <s v="Sophie"/>
    <x v="24"/>
    <x v="15"/>
  </r>
  <r>
    <d v="2025-01-02T00:00:00"/>
    <x v="4"/>
    <x v="0"/>
    <n v="1"/>
    <n v="374.33"/>
    <s v="Store B"/>
    <s v="Wholesale"/>
    <n v="0"/>
    <x v="3"/>
    <n v="374.33"/>
    <s v="Credit Card"/>
    <s v="FREESHIP"/>
    <n v="0"/>
    <s v="REG100462"/>
    <s v="Cust 1649"/>
    <n v="33.31"/>
    <d v="2025-01-02T00:00:00"/>
    <d v="2025-01-12T00:00:00"/>
    <s v="Wendy"/>
    <x v="12"/>
    <x v="3"/>
  </r>
  <r>
    <d v="2024-03-14T00:00:00"/>
    <x v="2"/>
    <x v="2"/>
    <n v="13"/>
    <n v="588.79999999999995"/>
    <s v="Store D"/>
    <s v="Wholesale"/>
    <n v="0.15"/>
    <x v="2"/>
    <n v="6506.24"/>
    <s v="Cash"/>
    <s v="SAVE10"/>
    <n v="0"/>
    <s v="REG100463"/>
    <s v="Cust 6994"/>
    <n v="45.03"/>
    <d v="2024-03-14T00:00:00"/>
    <d v="2024-03-21T00:00:00"/>
    <s v="Ryan"/>
    <x v="25"/>
    <x v="7"/>
  </r>
  <r>
    <d v="2024-05-04T00:00:00"/>
    <x v="4"/>
    <x v="4"/>
    <n v="13"/>
    <n v="198.44"/>
    <s v="Store D"/>
    <s v="Wholesale"/>
    <n v="0"/>
    <x v="3"/>
    <n v="2579.7199999999998"/>
    <s v="Cash"/>
    <s v="SAVE10"/>
    <n v="1"/>
    <s v="REG100464"/>
    <s v="Cust 9879"/>
    <n v="31.51"/>
    <d v="2024-05-04T00:00:00"/>
    <d v="2024-05-09T00:00:00"/>
    <s v="Wendy"/>
    <x v="14"/>
    <x v="11"/>
  </r>
  <r>
    <d v="2025-02-27T00:00:00"/>
    <x v="1"/>
    <x v="6"/>
    <n v="12"/>
    <n v="384.2"/>
    <s v="Store A"/>
    <s v="Retail"/>
    <n v="0"/>
    <x v="0"/>
    <n v="4610.3999999999996"/>
    <s v="Cash"/>
    <s v="FREESHIP"/>
    <n v="0"/>
    <s v="REG100465"/>
    <s v="Cust 9069"/>
    <n v="38.99"/>
    <d v="2025-02-27T00:00:00"/>
    <d v="2025-03-02T00:00:00"/>
    <s v="Sophie"/>
    <x v="3"/>
    <x v="3"/>
  </r>
  <r>
    <d v="2024-11-13T00:00:00"/>
    <x v="3"/>
    <x v="1"/>
    <n v="4"/>
    <n v="475.49"/>
    <s v="Store B"/>
    <s v="Wholesale"/>
    <n v="0.15"/>
    <x v="2"/>
    <n v="1616.6659999999999"/>
    <s v="Cash"/>
    <s v="WINTER15"/>
    <n v="0"/>
    <s v="REG100466"/>
    <s v="Cust 3712"/>
    <n v="11.6"/>
    <d v="2024-11-13T00:00:00"/>
    <d v="2024-11-17T00:00:00"/>
    <s v="Cameron"/>
    <x v="20"/>
    <x v="1"/>
  </r>
  <r>
    <d v="2023-10-31T00:00:00"/>
    <x v="4"/>
    <x v="6"/>
    <n v="6"/>
    <n v="202.97"/>
    <s v="Store C"/>
    <s v="Retail"/>
    <n v="0.1"/>
    <x v="0"/>
    <n v="1096.038"/>
    <s v="Gift Card"/>
    <s v="WINTER15"/>
    <n v="0"/>
    <s v="REG100467"/>
    <s v="Cust 3829"/>
    <n v="43.55"/>
    <d v="2023-10-31T00:00:00"/>
    <d v="2023-11-10T00:00:00"/>
    <s v="Wendy"/>
    <x v="19"/>
    <x v="14"/>
  </r>
  <r>
    <d v="2023-12-19T00:00:00"/>
    <x v="3"/>
    <x v="5"/>
    <n v="18"/>
    <n v="135.22999999999999"/>
    <s v="Store C"/>
    <s v="Wholesale"/>
    <n v="0"/>
    <x v="4"/>
    <n v="2434.14"/>
    <s v="Online"/>
    <s v="WINTER15"/>
    <n v="1"/>
    <s v="REG100468"/>
    <s v="Cust 1623"/>
    <n v="46.1"/>
    <d v="2023-12-19T00:00:00"/>
    <d v="2023-12-24T00:00:00"/>
    <s v="Cameron"/>
    <x v="27"/>
    <x v="12"/>
  </r>
  <r>
    <d v="2023-11-27T00:00:00"/>
    <x v="1"/>
    <x v="5"/>
    <n v="20"/>
    <n v="356.4"/>
    <s v="Store C"/>
    <s v="Wholesale"/>
    <n v="0.05"/>
    <x v="4"/>
    <n v="6771.5999999999995"/>
    <s v="Cash"/>
    <s v="FREESHIP"/>
    <n v="1"/>
    <s v="REG100469"/>
    <s v="Cust 3532"/>
    <n v="26.7"/>
    <d v="2023-11-27T00:00:00"/>
    <d v="2023-12-03T00:00:00"/>
    <s v="Sophie"/>
    <x v="15"/>
    <x v="12"/>
  </r>
  <r>
    <d v="2023-08-15T00:00:00"/>
    <x v="0"/>
    <x v="0"/>
    <n v="3"/>
    <n v="294.72000000000003"/>
    <s v="Store C"/>
    <s v="Wholesale"/>
    <n v="0.05"/>
    <x v="1"/>
    <n v="839.952"/>
    <s v="Cash"/>
    <s v="SAVE10"/>
    <n v="0"/>
    <s v="REG100470"/>
    <s v="Cust 4712"/>
    <n v="45.33"/>
    <d v="2023-08-15T00:00:00"/>
    <d v="2023-08-18T00:00:00"/>
    <s v="Eric"/>
    <x v="18"/>
    <x v="9"/>
  </r>
  <r>
    <d v="2023-01-16T00:00:00"/>
    <x v="4"/>
    <x v="1"/>
    <n v="20"/>
    <n v="553.85"/>
    <s v="Store A"/>
    <s v="Retail"/>
    <n v="0"/>
    <x v="2"/>
    <n v="11077"/>
    <s v="Cash"/>
    <s v="WINTER15"/>
    <n v="0"/>
    <s v="REG100471"/>
    <s v="Cust 6211"/>
    <n v="33.21"/>
    <d v="2023-01-16T00:00:00"/>
    <d v="2023-01-24T00:00:00"/>
    <s v="Wendy"/>
    <x v="6"/>
    <x v="0"/>
  </r>
  <r>
    <d v="2025-02-28T00:00:00"/>
    <x v="3"/>
    <x v="5"/>
    <n v="13"/>
    <n v="81.17"/>
    <s v="Store D"/>
    <s v="Retail"/>
    <n v="0.1"/>
    <x v="2"/>
    <n v="949.68900000000008"/>
    <s v="Cash"/>
    <s v="SAVE10"/>
    <n v="1"/>
    <s v="REG100472"/>
    <s v="Cust 1222"/>
    <n v="48.21"/>
    <d v="2025-02-28T00:00:00"/>
    <d v="2025-03-08T00:00:00"/>
    <s v="Cameron"/>
    <x v="3"/>
    <x v="3"/>
  </r>
  <r>
    <d v="2023-11-28T00:00:00"/>
    <x v="4"/>
    <x v="1"/>
    <n v="2"/>
    <n v="532.51"/>
    <s v="Store B"/>
    <s v="Wholesale"/>
    <n v="0"/>
    <x v="3"/>
    <n v="1065.02"/>
    <s v="Credit Card"/>
    <s v="WINTER15"/>
    <n v="1"/>
    <s v="REG100473"/>
    <s v="Cust 6208"/>
    <n v="49.67"/>
    <d v="2023-11-28T00:00:00"/>
    <d v="2023-12-01T00:00:00"/>
    <s v="Wendy"/>
    <x v="15"/>
    <x v="12"/>
  </r>
  <r>
    <d v="2023-12-04T00:00:00"/>
    <x v="4"/>
    <x v="6"/>
    <n v="1"/>
    <n v="268.19"/>
    <s v="Store B"/>
    <s v="Wholesale"/>
    <n v="0.1"/>
    <x v="3"/>
    <n v="241.37100000000001"/>
    <s v="Gift Card"/>
    <s v="WINTER15"/>
    <n v="0"/>
    <s v="REG100474"/>
    <s v="Cust 5942"/>
    <n v="9.48"/>
    <d v="2023-12-04T00:00:00"/>
    <d v="2023-12-13T00:00:00"/>
    <s v="Wendy"/>
    <x v="27"/>
    <x v="12"/>
  </r>
  <r>
    <d v="2024-06-21T00:00:00"/>
    <x v="1"/>
    <x v="6"/>
    <n v="17"/>
    <n v="432.65"/>
    <s v="Store A"/>
    <s v="Retail"/>
    <n v="0.15"/>
    <x v="2"/>
    <n v="6251.7924999999996"/>
    <s v="Cash"/>
    <s v="FREESHIP"/>
    <n v="0"/>
    <s v="REG100475"/>
    <s v="Cust 1745"/>
    <n v="18.850000000000001"/>
    <d v="2024-06-21T00:00:00"/>
    <d v="2024-06-29T00:00:00"/>
    <s v="Sophie"/>
    <x v="23"/>
    <x v="11"/>
  </r>
  <r>
    <d v="2025-03-17T00:00:00"/>
    <x v="0"/>
    <x v="2"/>
    <n v="14"/>
    <n v="123.04"/>
    <s v="Store A"/>
    <s v="Wholesale"/>
    <n v="0.1"/>
    <x v="4"/>
    <n v="1550.3040000000001"/>
    <s v="Cash"/>
    <s v="WINTER15"/>
    <n v="1"/>
    <s v="REG100476"/>
    <s v="Cust 2679"/>
    <n v="43.28"/>
    <d v="2025-03-17T00:00:00"/>
    <d v="2025-03-26T00:00:00"/>
    <s v="Eric"/>
    <x v="8"/>
    <x v="6"/>
  </r>
  <r>
    <d v="2023-08-17T00:00:00"/>
    <x v="3"/>
    <x v="2"/>
    <n v="16"/>
    <n v="454.54"/>
    <s v="Store B"/>
    <s v="Retail"/>
    <n v="0.1"/>
    <x v="5"/>
    <n v="6545.3760000000002"/>
    <s v="Online"/>
    <s v="FREESHIP"/>
    <n v="0"/>
    <s v="REG100477"/>
    <s v="Cust 9907"/>
    <n v="20.55"/>
    <d v="2023-08-17T00:00:00"/>
    <d v="2023-08-19T00:00:00"/>
    <s v="Cameron"/>
    <x v="18"/>
    <x v="9"/>
  </r>
  <r>
    <d v="2023-08-30T00:00:00"/>
    <x v="3"/>
    <x v="4"/>
    <n v="11"/>
    <n v="414.58"/>
    <s v="Store D"/>
    <s v="Wholesale"/>
    <n v="0.05"/>
    <x v="4"/>
    <n v="4332.3609999999999"/>
    <s v="Cash"/>
    <s v="WINTER15"/>
    <n v="0"/>
    <s v="REG100478"/>
    <s v="Cust 5750"/>
    <n v="25.33"/>
    <d v="2023-08-30T00:00:00"/>
    <d v="2023-09-05T00:00:00"/>
    <s v="Cameron"/>
    <x v="18"/>
    <x v="9"/>
  </r>
  <r>
    <d v="2025-06-16T00:00:00"/>
    <x v="0"/>
    <x v="1"/>
    <n v="9"/>
    <n v="352.91"/>
    <s v="Store B"/>
    <s v="Wholesale"/>
    <n v="0.1"/>
    <x v="5"/>
    <n v="2858.5709999999999"/>
    <s v="Cash"/>
    <s v="FREESHIP"/>
    <n v="0"/>
    <s v="REG100479"/>
    <s v="Cust 5717"/>
    <n v="30.57"/>
    <d v="2025-06-16T00:00:00"/>
    <d v="2025-06-18T00:00:00"/>
    <s v="Eric"/>
    <x v="16"/>
    <x v="10"/>
  </r>
  <r>
    <d v="2023-06-29T00:00:00"/>
    <x v="2"/>
    <x v="3"/>
    <n v="10"/>
    <n v="126.46"/>
    <s v="Store A"/>
    <s v="Retail"/>
    <n v="0.1"/>
    <x v="0"/>
    <n v="1138.1400000000001"/>
    <s v="Online"/>
    <s v="WINTER15"/>
    <n v="0"/>
    <s v="REG100480"/>
    <s v="Cust 7995"/>
    <n v="26.96"/>
    <d v="2023-06-29T00:00:00"/>
    <d v="2023-07-09T00:00:00"/>
    <s v="Ryan"/>
    <x v="4"/>
    <x v="2"/>
  </r>
  <r>
    <d v="2023-08-13T00:00:00"/>
    <x v="2"/>
    <x v="4"/>
    <n v="7"/>
    <n v="125.02"/>
    <s v="Store D"/>
    <s v="Wholesale"/>
    <n v="0"/>
    <x v="3"/>
    <n v="875.14"/>
    <s v="Credit Card"/>
    <s v="FREESHIP"/>
    <n v="0"/>
    <s v="REG100481"/>
    <s v="Cust 5572"/>
    <n v="12.45"/>
    <d v="2023-08-13T00:00:00"/>
    <d v="2023-08-20T00:00:00"/>
    <s v="Ryan"/>
    <x v="18"/>
    <x v="9"/>
  </r>
  <r>
    <d v="2024-04-29T00:00:00"/>
    <x v="4"/>
    <x v="5"/>
    <n v="20"/>
    <n v="367.24"/>
    <s v="Store A"/>
    <s v="Wholesale"/>
    <n v="0.05"/>
    <x v="3"/>
    <n v="6977.5599999999986"/>
    <s v="Gift Card"/>
    <s v="FREESHIP"/>
    <n v="0"/>
    <s v="REG100482"/>
    <s v="Cust 1721"/>
    <n v="45.67"/>
    <d v="2024-04-29T00:00:00"/>
    <d v="2024-05-07T00:00:00"/>
    <s v="Wendy"/>
    <x v="9"/>
    <x v="7"/>
  </r>
  <r>
    <d v="2023-07-15T00:00:00"/>
    <x v="4"/>
    <x v="4"/>
    <n v="8"/>
    <n v="432.12"/>
    <s v="Store B"/>
    <s v="Retail"/>
    <n v="0"/>
    <x v="4"/>
    <n v="3456.96"/>
    <s v="Credit Card"/>
    <s v="WINTER15"/>
    <n v="0"/>
    <s v="REG100483"/>
    <s v="Cust 2641"/>
    <n v="42.1"/>
    <d v="2023-07-15T00:00:00"/>
    <d v="2023-07-25T00:00:00"/>
    <s v="Wendy"/>
    <x v="11"/>
    <x v="9"/>
  </r>
  <r>
    <d v="2025-01-17T00:00:00"/>
    <x v="2"/>
    <x v="5"/>
    <n v="3"/>
    <n v="13.33"/>
    <s v="Store D"/>
    <s v="Retail"/>
    <n v="0.1"/>
    <x v="0"/>
    <n v="35.991"/>
    <s v="Cash"/>
    <s v="SAVE10"/>
    <n v="0"/>
    <s v="REG100484"/>
    <s v="Cust 9769"/>
    <n v="17.62"/>
    <d v="2025-01-17T00:00:00"/>
    <d v="2025-01-23T00:00:00"/>
    <s v="Ryan"/>
    <x v="12"/>
    <x v="3"/>
  </r>
  <r>
    <d v="2025-02-21T00:00:00"/>
    <x v="0"/>
    <x v="6"/>
    <n v="13"/>
    <n v="105.93"/>
    <s v="Store C"/>
    <s v="Retail"/>
    <n v="0"/>
    <x v="5"/>
    <n v="1377.09"/>
    <s v="Debit Card"/>
    <s v="FREESHIP"/>
    <n v="0"/>
    <s v="REG100485"/>
    <s v="Cust 1718"/>
    <n v="38.96"/>
    <d v="2025-02-21T00:00:00"/>
    <d v="2025-03-03T00:00:00"/>
    <s v="Eric"/>
    <x v="3"/>
    <x v="3"/>
  </r>
  <r>
    <d v="2023-07-19T00:00:00"/>
    <x v="4"/>
    <x v="4"/>
    <n v="20"/>
    <n v="526.54999999999995"/>
    <s v="Store A"/>
    <s v="Wholesale"/>
    <n v="0"/>
    <x v="1"/>
    <n v="10531"/>
    <s v="Debit Card"/>
    <s v="FREESHIP"/>
    <n v="1"/>
    <s v="REG100486"/>
    <s v="Cust 1210"/>
    <n v="25.64"/>
    <d v="2023-07-19T00:00:00"/>
    <d v="2023-07-26T00:00:00"/>
    <s v="Wendy"/>
    <x v="11"/>
    <x v="9"/>
  </r>
  <r>
    <d v="2024-09-29T00:00:00"/>
    <x v="4"/>
    <x v="1"/>
    <n v="11"/>
    <n v="339.78"/>
    <s v="Store A"/>
    <s v="Retail"/>
    <n v="0.05"/>
    <x v="4"/>
    <n v="3550.701"/>
    <s v="Debit Card"/>
    <s v="WINTER15"/>
    <n v="1"/>
    <s v="REG100487"/>
    <s v="Cust 7710"/>
    <n v="11.56"/>
    <d v="2024-09-29T00:00:00"/>
    <d v="2024-10-06T00:00:00"/>
    <s v="Wendy"/>
    <x v="26"/>
    <x v="5"/>
  </r>
  <r>
    <d v="2024-10-17T00:00:00"/>
    <x v="0"/>
    <x v="0"/>
    <n v="10"/>
    <n v="91.75"/>
    <s v="Store D"/>
    <s v="Wholesale"/>
    <n v="0.15"/>
    <x v="2"/>
    <n v="779.875"/>
    <s v="Cash"/>
    <s v="WINTER15"/>
    <n v="0"/>
    <s v="REG100488"/>
    <s v="Cust 1428"/>
    <n v="37.270000000000003"/>
    <d v="2024-10-17T00:00:00"/>
    <d v="2024-10-21T00:00:00"/>
    <s v="Eric"/>
    <x v="7"/>
    <x v="5"/>
  </r>
  <r>
    <d v="2025-06-11T00:00:00"/>
    <x v="0"/>
    <x v="1"/>
    <n v="15"/>
    <n v="13.66"/>
    <s v="Store B"/>
    <s v="Retail"/>
    <n v="0.1"/>
    <x v="1"/>
    <n v="184.41"/>
    <s v="Debit Card"/>
    <s v="FREESHIP"/>
    <n v="0"/>
    <s v="REG100489"/>
    <s v="Cust 2810"/>
    <n v="38.04"/>
    <d v="2025-06-11T00:00:00"/>
    <d v="2025-06-17T00:00:00"/>
    <s v="Eric"/>
    <x v="16"/>
    <x v="10"/>
  </r>
  <r>
    <d v="2024-01-19T00:00:00"/>
    <x v="4"/>
    <x v="2"/>
    <n v="6"/>
    <n v="148.22999999999999"/>
    <s v="Store B"/>
    <s v="Retail"/>
    <n v="0.1"/>
    <x v="0"/>
    <n v="800.44199999999989"/>
    <s v="Credit Card"/>
    <s v="FREESHIP"/>
    <n v="0"/>
    <s v="REG100490"/>
    <s v="Cust 2234"/>
    <n v="19.579999999999998"/>
    <d v="2024-01-19T00:00:00"/>
    <d v="2024-01-29T00:00:00"/>
    <s v="Wendy"/>
    <x v="24"/>
    <x v="4"/>
  </r>
  <r>
    <d v="2023-12-03T00:00:00"/>
    <x v="0"/>
    <x v="3"/>
    <n v="11"/>
    <n v="495.03"/>
    <s v="Store D"/>
    <s v="Wholesale"/>
    <n v="0.15"/>
    <x v="2"/>
    <n v="4628.5304999999998"/>
    <s v="Cash"/>
    <s v="WINTER15"/>
    <n v="0"/>
    <s v="REG100491"/>
    <s v="Cust 9602"/>
    <n v="27.37"/>
    <d v="2023-12-03T00:00:00"/>
    <d v="2023-12-05T00:00:00"/>
    <s v="Eric"/>
    <x v="27"/>
    <x v="12"/>
  </r>
  <r>
    <d v="2024-06-19T00:00:00"/>
    <x v="3"/>
    <x v="3"/>
    <n v="6"/>
    <n v="247.2"/>
    <s v="Store A"/>
    <s v="Wholesale"/>
    <n v="0.05"/>
    <x v="4"/>
    <n v="1409.04"/>
    <s v="Credit Card"/>
    <s v="FREESHIP"/>
    <n v="0"/>
    <s v="REG100492"/>
    <s v="Cust 2546"/>
    <n v="18.75"/>
    <d v="2024-06-19T00:00:00"/>
    <d v="2024-06-27T00:00:00"/>
    <s v="Cameron"/>
    <x v="23"/>
    <x v="11"/>
  </r>
  <r>
    <d v="2024-10-16T00:00:00"/>
    <x v="4"/>
    <x v="5"/>
    <n v="19"/>
    <n v="207.45"/>
    <s v="Store C"/>
    <s v="Retail"/>
    <n v="0.05"/>
    <x v="5"/>
    <n v="3744.4724999999989"/>
    <s v="Debit Card"/>
    <s v="SAVE10"/>
    <n v="0"/>
    <s v="REG100493"/>
    <s v="Cust 5032"/>
    <n v="11.5"/>
    <d v="2024-10-16T00:00:00"/>
    <d v="2024-10-21T00:00:00"/>
    <s v="Wendy"/>
    <x v="7"/>
    <x v="5"/>
  </r>
  <r>
    <d v="2025-01-23T00:00:00"/>
    <x v="0"/>
    <x v="0"/>
    <n v="2"/>
    <n v="370.78"/>
    <s v="Store D"/>
    <s v="Wholesale"/>
    <n v="0.15"/>
    <x v="4"/>
    <n v="630.32599999999991"/>
    <s v="Online"/>
    <s v="FREESHIP"/>
    <n v="0"/>
    <s v="REG100494"/>
    <s v="Cust 4297"/>
    <n v="20.45"/>
    <d v="2025-01-23T00:00:00"/>
    <d v="2025-01-27T00:00:00"/>
    <s v="Eric"/>
    <x v="12"/>
    <x v="3"/>
  </r>
  <r>
    <d v="2023-10-02T00:00:00"/>
    <x v="3"/>
    <x v="0"/>
    <n v="9"/>
    <n v="146.72"/>
    <s v="Store A"/>
    <s v="Wholesale"/>
    <n v="0.1"/>
    <x v="4"/>
    <n v="1188.432"/>
    <s v="Credit Card"/>
    <m/>
    <n v="0"/>
    <s v="REG100495"/>
    <s v="Cust 6944"/>
    <n v="10.45"/>
    <d v="2023-10-02T00:00:00"/>
    <d v="2023-10-10T00:00:00"/>
    <s v="Cameron"/>
    <x v="19"/>
    <x v="14"/>
  </r>
  <r>
    <d v="2023-11-05T00:00:00"/>
    <x v="0"/>
    <x v="2"/>
    <n v="12"/>
    <n v="159.85"/>
    <s v="Store D"/>
    <s v="Retail"/>
    <n v="0.1"/>
    <x v="1"/>
    <n v="1726.38"/>
    <s v="Cash"/>
    <s v="WINTER15"/>
    <n v="0"/>
    <s v="REG100496"/>
    <s v="Cust 4136"/>
    <n v="32.61"/>
    <d v="2023-11-05T00:00:00"/>
    <d v="2023-11-07T00:00:00"/>
    <s v="Eric"/>
    <x v="15"/>
    <x v="12"/>
  </r>
  <r>
    <d v="2023-06-18T00:00:00"/>
    <x v="1"/>
    <x v="6"/>
    <n v="13"/>
    <n v="181.68"/>
    <s v="Store C"/>
    <s v="Wholesale"/>
    <n v="0.05"/>
    <x v="4"/>
    <n v="2243.748"/>
    <s v="Gift Card"/>
    <s v="SAVE10"/>
    <n v="0"/>
    <s v="REG100497"/>
    <s v="Cust 7460"/>
    <n v="14.69"/>
    <d v="2023-06-18T00:00:00"/>
    <d v="2023-06-23T00:00:00"/>
    <s v="Sophie"/>
    <x v="4"/>
    <x v="2"/>
  </r>
  <r>
    <d v="2024-07-15T00:00:00"/>
    <x v="3"/>
    <x v="1"/>
    <n v="16"/>
    <n v="34.159999999999997"/>
    <s v="Store A"/>
    <s v="Retail"/>
    <n v="0.15"/>
    <x v="5"/>
    <n v="464.57600000000002"/>
    <s v="Cash"/>
    <s v="SAVE10"/>
    <n v="0"/>
    <s v="REG100498"/>
    <s v="Cust 3960"/>
    <n v="36.33"/>
    <d v="2024-07-15T00:00:00"/>
    <d v="2024-07-21T00:00:00"/>
    <s v="Cameron"/>
    <x v="10"/>
    <x v="8"/>
  </r>
  <r>
    <d v="2024-06-14T00:00:00"/>
    <x v="3"/>
    <x v="0"/>
    <n v="2"/>
    <n v="287.43"/>
    <s v="Store C"/>
    <s v="Wholesale"/>
    <n v="0.1"/>
    <x v="4"/>
    <n v="517.37400000000002"/>
    <s v="Cash"/>
    <s v="WINTER15"/>
    <n v="0"/>
    <s v="REG100499"/>
    <s v="Cust 5530"/>
    <n v="25.34"/>
    <d v="2024-06-14T00:00:00"/>
    <d v="2024-06-23T00:00:00"/>
    <s v="Cameron"/>
    <x v="23"/>
    <x v="11"/>
  </r>
  <r>
    <d v="2024-04-05T00:00:00"/>
    <x v="0"/>
    <x v="4"/>
    <n v="15"/>
    <n v="405.95"/>
    <s v="Store D"/>
    <s v="Wholesale"/>
    <n v="0.15"/>
    <x v="0"/>
    <n v="5175.8625000000002"/>
    <s v="Gift Card"/>
    <m/>
    <n v="0"/>
    <s v="REG100500"/>
    <s v="Cust 3160"/>
    <n v="32.04"/>
    <d v="2024-04-05T00:00:00"/>
    <d v="2024-04-10T00:00:00"/>
    <s v="Eric"/>
    <x v="9"/>
    <x v="7"/>
  </r>
  <r>
    <d v="2023-02-27T00:00:00"/>
    <x v="2"/>
    <x v="0"/>
    <n v="1"/>
    <n v="430.61"/>
    <s v="Store B"/>
    <s v="Retail"/>
    <n v="0"/>
    <x v="1"/>
    <n v="430.61"/>
    <s v="Gift Card"/>
    <s v="WINTER15"/>
    <n v="0"/>
    <s v="REG100501"/>
    <s v="Cust 9641"/>
    <n v="14.53"/>
    <d v="2023-02-27T00:00:00"/>
    <d v="2023-03-07T00:00:00"/>
    <s v="Ryan"/>
    <x v="0"/>
    <x v="0"/>
  </r>
  <r>
    <d v="2023-07-31T00:00:00"/>
    <x v="4"/>
    <x v="0"/>
    <n v="5"/>
    <n v="508.05"/>
    <s v="Store D"/>
    <s v="Retail"/>
    <n v="0"/>
    <x v="2"/>
    <n v="2540.25"/>
    <s v="Credit Card"/>
    <s v="WINTER15"/>
    <n v="1"/>
    <s v="REG100502"/>
    <s v="Cust 9742"/>
    <n v="35.630000000000003"/>
    <d v="2023-07-31T00:00:00"/>
    <d v="2023-08-09T00:00:00"/>
    <s v="Wendy"/>
    <x v="11"/>
    <x v="9"/>
  </r>
  <r>
    <d v="2023-03-03T00:00:00"/>
    <x v="4"/>
    <x v="0"/>
    <n v="13"/>
    <n v="522.97"/>
    <s v="Store C"/>
    <s v="Retail"/>
    <n v="0.15"/>
    <x v="3"/>
    <n v="5778.8185000000003"/>
    <s v="Debit Card"/>
    <s v="FREESHIP"/>
    <n v="0"/>
    <s v="REG100503"/>
    <s v="Cust 1144"/>
    <n v="33.9"/>
    <d v="2023-03-03T00:00:00"/>
    <d v="2023-03-10T00:00:00"/>
    <s v="Wendy"/>
    <x v="17"/>
    <x v="13"/>
  </r>
  <r>
    <d v="2023-04-26T00:00:00"/>
    <x v="1"/>
    <x v="0"/>
    <n v="17"/>
    <n v="260.25"/>
    <s v="Store D"/>
    <s v="Wholesale"/>
    <n v="0.1"/>
    <x v="2"/>
    <n v="3981.8249999999998"/>
    <s v="Credit Card"/>
    <s v="SAVE10"/>
    <n v="0"/>
    <s v="REG100504"/>
    <s v="Cust 2936"/>
    <n v="23.26"/>
    <d v="2023-04-26T00:00:00"/>
    <d v="2023-04-28T00:00:00"/>
    <s v="Sophie"/>
    <x v="21"/>
    <x v="13"/>
  </r>
  <r>
    <d v="2024-10-19T00:00:00"/>
    <x v="0"/>
    <x v="1"/>
    <n v="6"/>
    <n v="549.21"/>
    <s v="Store B"/>
    <s v="Retail"/>
    <n v="0.1"/>
    <x v="0"/>
    <n v="2965.7339999999999"/>
    <s v="Credit Card"/>
    <s v="WINTER15"/>
    <n v="1"/>
    <s v="REG100505"/>
    <s v="Cust 3035"/>
    <n v="12.29"/>
    <d v="2024-10-19T00:00:00"/>
    <d v="2024-10-27T00:00:00"/>
    <s v="Eric"/>
    <x v="7"/>
    <x v="5"/>
  </r>
  <r>
    <d v="2024-06-30T00:00:00"/>
    <x v="3"/>
    <x v="6"/>
    <n v="17"/>
    <n v="472.33"/>
    <s v="Store C"/>
    <s v="Retail"/>
    <n v="0.15"/>
    <x v="3"/>
    <n v="6825.1684999999998"/>
    <s v="Debit Card"/>
    <s v="WINTER15"/>
    <n v="0"/>
    <s v="REG100506"/>
    <s v="Cust 1717"/>
    <n v="22.63"/>
    <d v="2024-06-30T00:00:00"/>
    <d v="2024-07-04T00:00:00"/>
    <s v="Cameron"/>
    <x v="23"/>
    <x v="11"/>
  </r>
  <r>
    <d v="2024-10-11T00:00:00"/>
    <x v="4"/>
    <x v="0"/>
    <n v="9"/>
    <n v="596.83000000000004"/>
    <s v="Store A"/>
    <s v="Retail"/>
    <n v="0"/>
    <x v="0"/>
    <n v="5371.47"/>
    <s v="Cash"/>
    <s v="WINTER15"/>
    <n v="0"/>
    <s v="REG100507"/>
    <s v="Cust 4456"/>
    <n v="6.43"/>
    <d v="2024-10-11T00:00:00"/>
    <d v="2024-10-19T00:00:00"/>
    <s v="Wendy"/>
    <x v="7"/>
    <x v="5"/>
  </r>
  <r>
    <d v="2025-06-14T00:00:00"/>
    <x v="3"/>
    <x v="4"/>
    <n v="15"/>
    <n v="154.04"/>
    <s v="Store D"/>
    <s v="Retail"/>
    <n v="0.1"/>
    <x v="1"/>
    <n v="2079.54"/>
    <s v="Cash"/>
    <s v="FREESHIP"/>
    <n v="1"/>
    <s v="REG100508"/>
    <s v="Cust 6435"/>
    <n v="24.53"/>
    <d v="2025-06-14T00:00:00"/>
    <d v="2025-06-23T00:00:00"/>
    <s v="Cameron"/>
    <x v="16"/>
    <x v="10"/>
  </r>
  <r>
    <d v="2024-12-22T00:00:00"/>
    <x v="0"/>
    <x v="0"/>
    <n v="18"/>
    <n v="500.44"/>
    <s v="Store D"/>
    <s v="Wholesale"/>
    <n v="0.1"/>
    <x v="5"/>
    <n v="8107.1280000000006"/>
    <s v="Credit Card"/>
    <m/>
    <n v="0"/>
    <s v="REG100509"/>
    <s v="Cust 9352"/>
    <n v="8.8699999999999992"/>
    <d v="2024-12-22T00:00:00"/>
    <d v="2024-12-30T00:00:00"/>
    <s v="Eric"/>
    <x v="1"/>
    <x v="1"/>
  </r>
  <r>
    <d v="2024-04-22T00:00:00"/>
    <x v="4"/>
    <x v="5"/>
    <n v="5"/>
    <n v="382.17"/>
    <s v="Store C"/>
    <s v="Wholesale"/>
    <n v="0"/>
    <x v="4"/>
    <n v="1910.85"/>
    <s v="Credit Card"/>
    <s v="FREESHIP"/>
    <n v="0"/>
    <s v="REG100510"/>
    <s v="Cust 6746"/>
    <n v="17.72"/>
    <d v="2024-04-22T00:00:00"/>
    <d v="2024-04-25T00:00:00"/>
    <s v="Wendy"/>
    <x v="9"/>
    <x v="7"/>
  </r>
  <r>
    <d v="2025-01-25T00:00:00"/>
    <x v="2"/>
    <x v="3"/>
    <n v="3"/>
    <n v="365.54"/>
    <s v="Store B"/>
    <s v="Retail"/>
    <n v="0.15"/>
    <x v="2"/>
    <n v="932.12700000000007"/>
    <s v="Online"/>
    <m/>
    <n v="0"/>
    <s v="REG100511"/>
    <s v="Cust 8189"/>
    <n v="45.89"/>
    <d v="2025-01-25T00:00:00"/>
    <d v="2025-01-29T00:00:00"/>
    <s v="Ryan"/>
    <x v="12"/>
    <x v="3"/>
  </r>
  <r>
    <d v="2024-11-13T00:00:00"/>
    <x v="2"/>
    <x v="0"/>
    <n v="5"/>
    <n v="270.13"/>
    <s v="Store C"/>
    <s v="Retail"/>
    <n v="0.15"/>
    <x v="0"/>
    <n v="1148.0525"/>
    <s v="Credit Card"/>
    <m/>
    <n v="0"/>
    <s v="REG100512"/>
    <s v="Cust 8470"/>
    <n v="15.74"/>
    <d v="2024-11-13T00:00:00"/>
    <d v="2024-11-19T00:00:00"/>
    <s v="Ryan"/>
    <x v="20"/>
    <x v="1"/>
  </r>
  <r>
    <d v="2023-03-16T00:00:00"/>
    <x v="0"/>
    <x v="5"/>
    <n v="2"/>
    <n v="480.15"/>
    <s v="Store D"/>
    <s v="Retail"/>
    <n v="0.15"/>
    <x v="4"/>
    <n v="816.255"/>
    <s v="Online"/>
    <m/>
    <n v="0"/>
    <s v="REG100513"/>
    <s v="Cust 1044"/>
    <n v="42.07"/>
    <d v="2023-03-16T00:00:00"/>
    <d v="2023-03-21T00:00:00"/>
    <s v="Eric"/>
    <x v="17"/>
    <x v="13"/>
  </r>
  <r>
    <d v="2023-05-06T00:00:00"/>
    <x v="2"/>
    <x v="0"/>
    <n v="18"/>
    <n v="414.77"/>
    <s v="Store C"/>
    <s v="Wholesale"/>
    <n v="0.1"/>
    <x v="0"/>
    <n v="6719.2739999999994"/>
    <s v="Credit Card"/>
    <m/>
    <n v="1"/>
    <s v="REG100514"/>
    <s v="Cust 4010"/>
    <n v="28.55"/>
    <d v="2023-05-06T00:00:00"/>
    <d v="2023-05-15T00:00:00"/>
    <s v="Ryan"/>
    <x v="2"/>
    <x v="2"/>
  </r>
  <r>
    <d v="2024-11-15T00:00:00"/>
    <x v="0"/>
    <x v="4"/>
    <n v="10"/>
    <n v="98.24"/>
    <s v="Store C"/>
    <s v="Wholesale"/>
    <n v="0"/>
    <x v="2"/>
    <n v="982.4"/>
    <s v="Credit Card"/>
    <s v="FREESHIP"/>
    <n v="1"/>
    <s v="REG100515"/>
    <s v="Cust 1385"/>
    <n v="21.01"/>
    <d v="2024-11-15T00:00:00"/>
    <d v="2024-11-17T00:00:00"/>
    <s v="Eric"/>
    <x v="20"/>
    <x v="1"/>
  </r>
  <r>
    <d v="2024-06-28T00:00:00"/>
    <x v="3"/>
    <x v="0"/>
    <n v="6"/>
    <n v="227.6"/>
    <s v="Store D"/>
    <s v="Retail"/>
    <n v="0.05"/>
    <x v="3"/>
    <n v="1297.32"/>
    <s v="Debit Card"/>
    <s v="FREESHIP"/>
    <n v="0"/>
    <s v="REG100516"/>
    <s v="Cust 1904"/>
    <n v="38.22"/>
    <d v="2024-06-28T00:00:00"/>
    <d v="2024-07-05T00:00:00"/>
    <s v="Cameron"/>
    <x v="23"/>
    <x v="11"/>
  </r>
  <r>
    <d v="2025-05-11T00:00:00"/>
    <x v="3"/>
    <x v="4"/>
    <n v="5"/>
    <n v="136.13"/>
    <s v="Store C"/>
    <s v="Retail"/>
    <n v="0.15"/>
    <x v="3"/>
    <n v="578.55250000000001"/>
    <s v="Online"/>
    <m/>
    <n v="0"/>
    <s v="REG100517"/>
    <s v="Cust 6034"/>
    <n v="10.02"/>
    <d v="2025-05-11T00:00:00"/>
    <d v="2025-05-20T00:00:00"/>
    <s v="Cameron"/>
    <x v="13"/>
    <x v="10"/>
  </r>
  <r>
    <d v="2023-02-26T00:00:00"/>
    <x v="3"/>
    <x v="5"/>
    <n v="5"/>
    <n v="489.13"/>
    <s v="Store C"/>
    <s v="Retail"/>
    <n v="0.1"/>
    <x v="4"/>
    <n v="2201.085"/>
    <s v="Gift Card"/>
    <s v="FREESHIP"/>
    <n v="0"/>
    <s v="REG100518"/>
    <s v="Cust 9239"/>
    <n v="44.73"/>
    <d v="2023-02-26T00:00:00"/>
    <d v="2023-03-04T00:00:00"/>
    <s v="Cameron"/>
    <x v="0"/>
    <x v="0"/>
  </r>
  <r>
    <d v="2024-04-30T00:00:00"/>
    <x v="1"/>
    <x v="0"/>
    <n v="4"/>
    <n v="414.36"/>
    <s v="Store A"/>
    <s v="Retail"/>
    <n v="0"/>
    <x v="5"/>
    <n v="1657.44"/>
    <s v="Debit Card"/>
    <s v="FREESHIP"/>
    <n v="0"/>
    <s v="REG100519"/>
    <s v="Cust 5678"/>
    <n v="8.02"/>
    <d v="2024-04-30T00:00:00"/>
    <d v="2024-05-07T00:00:00"/>
    <s v="Sophie"/>
    <x v="9"/>
    <x v="11"/>
  </r>
  <r>
    <d v="2025-03-11T00:00:00"/>
    <x v="0"/>
    <x v="0"/>
    <n v="6"/>
    <n v="138.26"/>
    <s v="Store B"/>
    <s v="Retail"/>
    <n v="0.15"/>
    <x v="0"/>
    <n v="705.12599999999998"/>
    <s v="Online"/>
    <m/>
    <n v="1"/>
    <s v="REG100520"/>
    <s v="Cust 3696"/>
    <n v="31.4"/>
    <d v="2025-03-11T00:00:00"/>
    <d v="2025-03-13T00:00:00"/>
    <s v="Eric"/>
    <x v="8"/>
    <x v="6"/>
  </r>
  <r>
    <d v="2025-06-30T00:00:00"/>
    <x v="0"/>
    <x v="1"/>
    <n v="12"/>
    <n v="487.57"/>
    <s v="Store A"/>
    <s v="Wholesale"/>
    <n v="0.05"/>
    <x v="0"/>
    <n v="5558.2979999999998"/>
    <s v="Cash"/>
    <m/>
    <n v="0"/>
    <s v="REG100521"/>
    <s v="Cust 9025"/>
    <n v="37.33"/>
    <d v="2025-06-30T00:00:00"/>
    <d v="2025-07-10T00:00:00"/>
    <s v="Eric"/>
    <x v="16"/>
    <x v="10"/>
  </r>
  <r>
    <d v="2024-06-02T00:00:00"/>
    <x v="2"/>
    <x v="3"/>
    <n v="20"/>
    <n v="427.3"/>
    <s v="Store C"/>
    <s v="Wholesale"/>
    <n v="0.05"/>
    <x v="2"/>
    <n v="8118.7"/>
    <s v="Gift Card"/>
    <s v="FREESHIP"/>
    <n v="1"/>
    <s v="REG100522"/>
    <s v="Cust 9924"/>
    <n v="25.19"/>
    <d v="2024-06-02T00:00:00"/>
    <d v="2024-06-08T00:00:00"/>
    <s v="Ryan"/>
    <x v="23"/>
    <x v="11"/>
  </r>
  <r>
    <d v="2024-09-01T00:00:00"/>
    <x v="1"/>
    <x v="0"/>
    <n v="16"/>
    <n v="588.91999999999996"/>
    <s v="Store D"/>
    <s v="Wholesale"/>
    <n v="0.15"/>
    <x v="1"/>
    <n v="8009.311999999999"/>
    <s v="Cash"/>
    <s v="FREESHIP"/>
    <n v="0"/>
    <s v="REG100523"/>
    <s v="Cust 3887"/>
    <n v="7.89"/>
    <d v="2024-09-01T00:00:00"/>
    <d v="2024-09-05T00:00:00"/>
    <s v="Sophie"/>
    <x v="26"/>
    <x v="5"/>
  </r>
  <r>
    <d v="2025-01-11T00:00:00"/>
    <x v="1"/>
    <x v="0"/>
    <n v="6"/>
    <n v="429.45"/>
    <s v="Store B"/>
    <s v="Retail"/>
    <n v="0.1"/>
    <x v="1"/>
    <n v="2319.0300000000002"/>
    <s v="Cash"/>
    <m/>
    <n v="0"/>
    <s v="REG100524"/>
    <s v="Cust 5302"/>
    <n v="47.18"/>
    <d v="2025-01-11T00:00:00"/>
    <d v="2025-01-18T00:00:00"/>
    <s v="Sophie"/>
    <x v="12"/>
    <x v="3"/>
  </r>
  <r>
    <d v="2025-03-31T00:00:00"/>
    <x v="1"/>
    <x v="1"/>
    <n v="1"/>
    <n v="476"/>
    <s v="Store A"/>
    <s v="Wholesale"/>
    <n v="0.15"/>
    <x v="3"/>
    <n v="404.6"/>
    <s v="Cash"/>
    <s v="FREESHIP"/>
    <n v="0"/>
    <s v="REG100525"/>
    <s v="Cust 2290"/>
    <n v="18.95"/>
    <d v="2025-03-31T00:00:00"/>
    <d v="2025-04-03T00:00:00"/>
    <s v="Sophie"/>
    <x v="8"/>
    <x v="6"/>
  </r>
  <r>
    <d v="2024-11-28T00:00:00"/>
    <x v="1"/>
    <x v="1"/>
    <n v="13"/>
    <n v="141.26"/>
    <s v="Store B"/>
    <s v="Retail"/>
    <n v="0"/>
    <x v="2"/>
    <n v="1836.38"/>
    <s v="Online"/>
    <m/>
    <n v="0"/>
    <s v="REG100526"/>
    <s v="Cust 2227"/>
    <n v="23.68"/>
    <d v="2024-11-28T00:00:00"/>
    <d v="2024-12-05T00:00:00"/>
    <s v="Sophie"/>
    <x v="20"/>
    <x v="1"/>
  </r>
  <r>
    <d v="2023-07-05T00:00:00"/>
    <x v="2"/>
    <x v="3"/>
    <n v="3"/>
    <n v="250.65"/>
    <s v="Store D"/>
    <s v="Retail"/>
    <n v="0.15"/>
    <x v="0"/>
    <n v="639.15750000000003"/>
    <s v="Credit Card"/>
    <s v="SAVE10"/>
    <n v="0"/>
    <s v="REG100527"/>
    <s v="Cust 1726"/>
    <n v="44.46"/>
    <d v="2023-07-05T00:00:00"/>
    <d v="2023-07-07T00:00:00"/>
    <s v="Ryan"/>
    <x v="11"/>
    <x v="9"/>
  </r>
  <r>
    <d v="2024-10-24T00:00:00"/>
    <x v="4"/>
    <x v="4"/>
    <n v="19"/>
    <n v="301.17"/>
    <s v="Store D"/>
    <s v="Retail"/>
    <n v="0.05"/>
    <x v="1"/>
    <n v="5436.1184999999996"/>
    <s v="Debit Card"/>
    <s v="WINTER15"/>
    <n v="0"/>
    <s v="REG100528"/>
    <s v="Cust 9874"/>
    <n v="5.71"/>
    <d v="2024-10-24T00:00:00"/>
    <d v="2024-11-03T00:00:00"/>
    <s v="Wendy"/>
    <x v="7"/>
    <x v="5"/>
  </r>
  <r>
    <d v="2025-04-08T00:00:00"/>
    <x v="2"/>
    <x v="3"/>
    <n v="7"/>
    <n v="30.79"/>
    <s v="Store C"/>
    <s v="Retail"/>
    <n v="0.1"/>
    <x v="5"/>
    <n v="193.977"/>
    <s v="Cash"/>
    <s v="WINTER15"/>
    <n v="1"/>
    <s v="REG100529"/>
    <s v="Cust 1774"/>
    <n v="11.39"/>
    <d v="2025-04-08T00:00:00"/>
    <d v="2025-04-16T00:00:00"/>
    <s v="Ryan"/>
    <x v="28"/>
    <x v="6"/>
  </r>
  <r>
    <d v="2024-06-05T00:00:00"/>
    <x v="0"/>
    <x v="0"/>
    <n v="1"/>
    <n v="561.6"/>
    <s v="Store A"/>
    <s v="Wholesale"/>
    <n v="0.15"/>
    <x v="1"/>
    <n v="477.36"/>
    <s v="Debit Card"/>
    <s v="SAVE10"/>
    <n v="0"/>
    <s v="REG100530"/>
    <s v="Cust 2414"/>
    <n v="38.020000000000003"/>
    <d v="2024-06-05T00:00:00"/>
    <d v="2024-06-10T00:00:00"/>
    <s v="Eric"/>
    <x v="23"/>
    <x v="11"/>
  </r>
  <r>
    <d v="2025-01-23T00:00:00"/>
    <x v="4"/>
    <x v="1"/>
    <n v="16"/>
    <n v="193.7"/>
    <s v="Store A"/>
    <s v="Retail"/>
    <n v="0.15"/>
    <x v="5"/>
    <n v="2634.32"/>
    <s v="Credit Card"/>
    <s v="SAVE10"/>
    <n v="0"/>
    <s v="REG100531"/>
    <s v="Cust 6534"/>
    <n v="6.83"/>
    <d v="2025-01-23T00:00:00"/>
    <d v="2025-01-29T00:00:00"/>
    <s v="Wendy"/>
    <x v="12"/>
    <x v="3"/>
  </r>
  <r>
    <d v="2024-11-04T00:00:00"/>
    <x v="3"/>
    <x v="5"/>
    <n v="17"/>
    <n v="310.02999999999997"/>
    <s v="Store D"/>
    <s v="Retail"/>
    <n v="0.05"/>
    <x v="3"/>
    <n v="5006.9844999999987"/>
    <s v="Online"/>
    <s v="FREESHIP"/>
    <n v="0"/>
    <s v="REG100532"/>
    <s v="Cust 3170"/>
    <n v="8.06"/>
    <d v="2024-11-04T00:00:00"/>
    <d v="2024-11-12T00:00:00"/>
    <s v="Cameron"/>
    <x v="20"/>
    <x v="1"/>
  </r>
  <r>
    <d v="2024-01-01T00:00:00"/>
    <x v="4"/>
    <x v="6"/>
    <n v="13"/>
    <n v="204.67"/>
    <s v="Store A"/>
    <s v="Retail"/>
    <n v="0.15"/>
    <x v="1"/>
    <n v="2261.6035000000002"/>
    <s v="Online"/>
    <m/>
    <n v="0"/>
    <s v="REG100533"/>
    <s v="Cust 5438"/>
    <n v="6.76"/>
    <d v="2024-01-01T00:00:00"/>
    <d v="2024-01-05T00:00:00"/>
    <s v="Wendy"/>
    <x v="24"/>
    <x v="15"/>
  </r>
  <r>
    <d v="2024-04-09T00:00:00"/>
    <x v="3"/>
    <x v="6"/>
    <n v="3"/>
    <n v="250.11"/>
    <s v="Store D"/>
    <s v="Wholesale"/>
    <n v="0"/>
    <x v="1"/>
    <n v="750.33"/>
    <s v="Gift Card"/>
    <s v="FREESHIP"/>
    <n v="0"/>
    <s v="REG100534"/>
    <s v="Cust 2670"/>
    <n v="36.35"/>
    <d v="2024-04-09T00:00:00"/>
    <d v="2024-04-17T00:00:00"/>
    <s v="Cameron"/>
    <x v="9"/>
    <x v="7"/>
  </r>
  <r>
    <d v="2025-01-17T00:00:00"/>
    <x v="2"/>
    <x v="2"/>
    <n v="12"/>
    <n v="526.82000000000005"/>
    <s v="Store A"/>
    <s v="Retail"/>
    <n v="0"/>
    <x v="2"/>
    <n v="6321.84"/>
    <s v="Credit Card"/>
    <s v="WINTER15"/>
    <n v="0"/>
    <s v="REG100535"/>
    <s v="Cust 8949"/>
    <n v="29.75"/>
    <d v="2025-01-17T00:00:00"/>
    <d v="2025-01-25T00:00:00"/>
    <s v="Ryan"/>
    <x v="12"/>
    <x v="3"/>
  </r>
  <r>
    <d v="2024-09-22T00:00:00"/>
    <x v="0"/>
    <x v="3"/>
    <n v="18"/>
    <n v="575.1"/>
    <s v="Store D"/>
    <s v="Wholesale"/>
    <n v="0"/>
    <x v="5"/>
    <n v="10351.799999999999"/>
    <s v="Online"/>
    <s v="FREESHIP"/>
    <n v="0"/>
    <s v="REG100536"/>
    <s v="Cust 9748"/>
    <n v="35.32"/>
    <d v="2024-09-22T00:00:00"/>
    <d v="2024-09-29T00:00:00"/>
    <s v="Eric"/>
    <x v="26"/>
    <x v="5"/>
  </r>
  <r>
    <d v="2023-01-20T00:00:00"/>
    <x v="0"/>
    <x v="4"/>
    <n v="8"/>
    <n v="325.52"/>
    <s v="Store C"/>
    <s v="Retail"/>
    <n v="0.1"/>
    <x v="2"/>
    <n v="2343.7440000000001"/>
    <s v="Debit Card"/>
    <s v="WINTER15"/>
    <n v="0"/>
    <s v="REG100537"/>
    <s v="Cust 1220"/>
    <n v="45.59"/>
    <d v="2023-01-20T00:00:00"/>
    <d v="2023-01-25T00:00:00"/>
    <s v="Eric"/>
    <x v="6"/>
    <x v="0"/>
  </r>
  <r>
    <d v="2024-01-12T00:00:00"/>
    <x v="2"/>
    <x v="4"/>
    <n v="14"/>
    <n v="157.13999999999999"/>
    <s v="Store A"/>
    <s v="Wholesale"/>
    <n v="0.15"/>
    <x v="4"/>
    <n v="1869.9659999999999"/>
    <s v="Gift Card"/>
    <s v="SAVE10"/>
    <n v="0"/>
    <s v="REG100538"/>
    <s v="Cust 5645"/>
    <n v="36.04"/>
    <d v="2024-01-12T00:00:00"/>
    <d v="2024-01-22T00:00:00"/>
    <s v="Ryan"/>
    <x v="24"/>
    <x v="4"/>
  </r>
  <r>
    <d v="2024-04-08T00:00:00"/>
    <x v="3"/>
    <x v="0"/>
    <n v="10"/>
    <n v="100.26"/>
    <s v="Store D"/>
    <s v="Wholesale"/>
    <n v="0.05"/>
    <x v="3"/>
    <n v="952.47"/>
    <s v="Gift Card"/>
    <s v="SAVE10"/>
    <n v="0"/>
    <s v="REG100539"/>
    <s v="Cust 6577"/>
    <n v="36.71"/>
    <d v="2024-04-08T00:00:00"/>
    <d v="2024-04-15T00:00:00"/>
    <s v="Cameron"/>
    <x v="9"/>
    <x v="7"/>
  </r>
  <r>
    <d v="2023-04-27T00:00:00"/>
    <x v="3"/>
    <x v="0"/>
    <n v="9"/>
    <n v="554.48"/>
    <s v="Store C"/>
    <s v="Wholesale"/>
    <n v="0"/>
    <x v="3"/>
    <n v="4990.32"/>
    <s v="Online"/>
    <m/>
    <n v="0"/>
    <s v="REG100540"/>
    <s v="Cust 9506"/>
    <n v="48.26"/>
    <d v="2023-04-27T00:00:00"/>
    <d v="2023-05-01T00:00:00"/>
    <s v="Cameron"/>
    <x v="21"/>
    <x v="13"/>
  </r>
  <r>
    <d v="2024-07-17T00:00:00"/>
    <x v="2"/>
    <x v="1"/>
    <n v="4"/>
    <n v="375.96"/>
    <s v="Store C"/>
    <s v="Retail"/>
    <n v="0.15"/>
    <x v="3"/>
    <n v="1278.2639999999999"/>
    <s v="Debit Card"/>
    <m/>
    <n v="0"/>
    <s v="REG100541"/>
    <s v="Cust 9302"/>
    <n v="44.99"/>
    <d v="2024-07-17T00:00:00"/>
    <d v="2024-07-25T00:00:00"/>
    <s v="Ryan"/>
    <x v="10"/>
    <x v="8"/>
  </r>
  <r>
    <d v="2024-02-17T00:00:00"/>
    <x v="3"/>
    <x v="4"/>
    <n v="14"/>
    <n v="485.21"/>
    <s v="Store A"/>
    <s v="Retail"/>
    <n v="0"/>
    <x v="2"/>
    <n v="6792.94"/>
    <s v="Online"/>
    <s v="FREESHIP"/>
    <n v="0"/>
    <s v="REG100542"/>
    <s v="Cust 3030"/>
    <n v="41.72"/>
    <d v="2024-02-17T00:00:00"/>
    <d v="2024-02-23T00:00:00"/>
    <s v="Cameron"/>
    <x v="5"/>
    <x v="4"/>
  </r>
  <r>
    <d v="2024-01-25T00:00:00"/>
    <x v="1"/>
    <x v="4"/>
    <n v="9"/>
    <n v="372.44"/>
    <s v="Store A"/>
    <s v="Wholesale"/>
    <n v="0.05"/>
    <x v="4"/>
    <n v="3184.3620000000001"/>
    <s v="Gift Card"/>
    <s v="FREESHIP"/>
    <n v="0"/>
    <s v="REG100543"/>
    <s v="Cust 5896"/>
    <n v="41.87"/>
    <d v="2024-01-25T00:00:00"/>
    <d v="2024-02-02T00:00:00"/>
    <s v="Sophie"/>
    <x v="24"/>
    <x v="4"/>
  </r>
  <r>
    <d v="2024-03-24T00:00:00"/>
    <x v="3"/>
    <x v="0"/>
    <n v="7"/>
    <n v="140.53"/>
    <s v="Store D"/>
    <s v="Retail"/>
    <n v="0"/>
    <x v="2"/>
    <n v="983.71"/>
    <s v="Debit Card"/>
    <m/>
    <n v="1"/>
    <s v="REG100544"/>
    <s v="Cust 3763"/>
    <n v="24.53"/>
    <d v="2024-03-24T00:00:00"/>
    <d v="2024-04-02T00:00:00"/>
    <s v="Cameron"/>
    <x v="25"/>
    <x v="7"/>
  </r>
  <r>
    <d v="2023-06-25T00:00:00"/>
    <x v="2"/>
    <x v="2"/>
    <n v="15"/>
    <n v="365.61"/>
    <s v="Store D"/>
    <s v="Retail"/>
    <n v="0.15"/>
    <x v="5"/>
    <n v="4661.5275000000001"/>
    <s v="Cash"/>
    <s v="FREESHIP"/>
    <n v="0"/>
    <s v="REG100545"/>
    <s v="Cust 9510"/>
    <n v="35.840000000000003"/>
    <d v="2023-06-25T00:00:00"/>
    <d v="2023-06-27T00:00:00"/>
    <s v="Ryan"/>
    <x v="4"/>
    <x v="2"/>
  </r>
  <r>
    <d v="2023-04-17T00:00:00"/>
    <x v="1"/>
    <x v="0"/>
    <n v="20"/>
    <n v="353.97"/>
    <s v="Store B"/>
    <s v="Wholesale"/>
    <n v="0.15"/>
    <x v="2"/>
    <n v="6017.4900000000007"/>
    <s v="Cash"/>
    <s v="WINTER15"/>
    <n v="1"/>
    <s v="REG100546"/>
    <s v="Cust 7637"/>
    <n v="22.05"/>
    <d v="2023-04-17T00:00:00"/>
    <d v="2023-04-20T00:00:00"/>
    <s v="Sophie"/>
    <x v="21"/>
    <x v="13"/>
  </r>
  <r>
    <d v="2023-06-28T00:00:00"/>
    <x v="0"/>
    <x v="3"/>
    <n v="14"/>
    <n v="293.31"/>
    <s v="Store D"/>
    <s v="Wholesale"/>
    <n v="0"/>
    <x v="1"/>
    <n v="4106.34"/>
    <s v="Gift Card"/>
    <m/>
    <n v="0"/>
    <s v="REG100547"/>
    <s v="Cust 8382"/>
    <n v="21.61"/>
    <d v="2023-06-28T00:00:00"/>
    <d v="2023-06-30T00:00:00"/>
    <s v="Eric"/>
    <x v="4"/>
    <x v="2"/>
  </r>
  <r>
    <d v="2024-04-06T00:00:00"/>
    <x v="3"/>
    <x v="3"/>
    <n v="10"/>
    <n v="397.39"/>
    <s v="Store D"/>
    <s v="Retail"/>
    <n v="0.15"/>
    <x v="1"/>
    <n v="3377.8150000000001"/>
    <s v="Gift Card"/>
    <m/>
    <n v="0"/>
    <s v="REG100548"/>
    <s v="Cust 4015"/>
    <n v="25.27"/>
    <d v="2024-04-06T00:00:00"/>
    <d v="2024-04-16T00:00:00"/>
    <s v="Cameron"/>
    <x v="9"/>
    <x v="7"/>
  </r>
  <r>
    <d v="2025-02-17T00:00:00"/>
    <x v="1"/>
    <x v="3"/>
    <n v="2"/>
    <n v="98.35"/>
    <s v="Store C"/>
    <s v="Retail"/>
    <n v="0"/>
    <x v="0"/>
    <n v="196.7"/>
    <s v="Debit Card"/>
    <s v="FREESHIP"/>
    <n v="0"/>
    <s v="REG100549"/>
    <s v="Cust 5172"/>
    <n v="28.65"/>
    <d v="2025-02-17T00:00:00"/>
    <d v="2025-02-19T00:00:00"/>
    <s v="Sophie"/>
    <x v="3"/>
    <x v="3"/>
  </r>
  <r>
    <d v="2023-01-08T00:00:00"/>
    <x v="1"/>
    <x v="2"/>
    <n v="6"/>
    <n v="581.66999999999996"/>
    <s v="Store A"/>
    <s v="Wholesale"/>
    <n v="0"/>
    <x v="2"/>
    <n v="3490.02"/>
    <s v="Debit Card"/>
    <m/>
    <n v="0"/>
    <s v="REG100550"/>
    <s v="Cust 7584"/>
    <n v="39.4"/>
    <d v="2023-01-08T00:00:00"/>
    <d v="2023-01-11T00:00:00"/>
    <s v="Sophie"/>
    <x v="6"/>
    <x v="0"/>
  </r>
  <r>
    <d v="2023-12-21T00:00:00"/>
    <x v="1"/>
    <x v="1"/>
    <n v="19"/>
    <n v="30.41"/>
    <s v="Store D"/>
    <s v="Retail"/>
    <n v="0.05"/>
    <x v="2"/>
    <n v="548.90049999999997"/>
    <s v="Debit Card"/>
    <s v="FREESHIP"/>
    <n v="0"/>
    <s v="REG100551"/>
    <s v="Cust 6809"/>
    <n v="48.33"/>
    <d v="2023-12-21T00:00:00"/>
    <d v="2023-12-31T00:00:00"/>
    <s v="Sophie"/>
    <x v="27"/>
    <x v="12"/>
  </r>
  <r>
    <d v="2024-07-13T00:00:00"/>
    <x v="2"/>
    <x v="4"/>
    <n v="15"/>
    <n v="368.79"/>
    <s v="Store C"/>
    <s v="Wholesale"/>
    <n v="0.1"/>
    <x v="5"/>
    <n v="4978.6650000000009"/>
    <s v="Gift Card"/>
    <s v="WINTER15"/>
    <n v="0"/>
    <s v="REG100552"/>
    <s v="Cust 7540"/>
    <n v="16.899999999999999"/>
    <d v="2024-07-13T00:00:00"/>
    <d v="2024-07-15T00:00:00"/>
    <s v="Ryan"/>
    <x v="10"/>
    <x v="8"/>
  </r>
  <r>
    <d v="2024-03-23T00:00:00"/>
    <x v="4"/>
    <x v="4"/>
    <n v="4"/>
    <n v="56.06"/>
    <s v="Store D"/>
    <s v="Retail"/>
    <n v="0.15"/>
    <x v="3"/>
    <n v="190.60400000000001"/>
    <s v="Cash"/>
    <s v="SAVE10"/>
    <n v="0"/>
    <s v="REG100553"/>
    <s v="Cust 6888"/>
    <n v="10.77"/>
    <d v="2024-03-23T00:00:00"/>
    <d v="2024-04-01T00:00:00"/>
    <s v="Wendy"/>
    <x v="25"/>
    <x v="7"/>
  </r>
  <r>
    <d v="2024-03-19T00:00:00"/>
    <x v="4"/>
    <x v="3"/>
    <n v="7"/>
    <n v="15.65"/>
    <s v="Store D"/>
    <s v="Wholesale"/>
    <n v="0"/>
    <x v="3"/>
    <n v="109.55"/>
    <s v="Debit Card"/>
    <m/>
    <n v="0"/>
    <s v="REG100554"/>
    <s v="Cust 3304"/>
    <n v="13.28"/>
    <d v="2024-03-19T00:00:00"/>
    <d v="2024-03-25T00:00:00"/>
    <s v="Wendy"/>
    <x v="25"/>
    <x v="7"/>
  </r>
  <r>
    <d v="2025-05-20T00:00:00"/>
    <x v="3"/>
    <x v="5"/>
    <n v="9"/>
    <n v="380.85"/>
    <s v="Store B"/>
    <s v="Wholesale"/>
    <n v="0"/>
    <x v="3"/>
    <n v="3427.65"/>
    <s v="Cash"/>
    <s v="FREESHIP"/>
    <n v="0"/>
    <s v="REG100555"/>
    <s v="Cust 4196"/>
    <n v="33.4"/>
    <d v="2025-05-20T00:00:00"/>
    <d v="2025-05-29T00:00:00"/>
    <s v="Cameron"/>
    <x v="13"/>
    <x v="10"/>
  </r>
  <r>
    <d v="2025-01-19T00:00:00"/>
    <x v="1"/>
    <x v="3"/>
    <n v="11"/>
    <n v="587.21"/>
    <s v="Store C"/>
    <s v="Wholesale"/>
    <n v="0"/>
    <x v="3"/>
    <n v="6459.31"/>
    <s v="Debit Card"/>
    <s v="WINTER15"/>
    <n v="0"/>
    <s v="REG100556"/>
    <s v="Cust 6596"/>
    <n v="34.32"/>
    <d v="2025-01-19T00:00:00"/>
    <d v="2025-01-26T00:00:00"/>
    <s v="Sophie"/>
    <x v="12"/>
    <x v="3"/>
  </r>
  <r>
    <d v="2023-05-28T00:00:00"/>
    <x v="1"/>
    <x v="6"/>
    <n v="17"/>
    <n v="554.25"/>
    <s v="Store A"/>
    <s v="Wholesale"/>
    <n v="0.1"/>
    <x v="4"/>
    <n v="8480.0249999999996"/>
    <s v="Debit Card"/>
    <m/>
    <n v="0"/>
    <s v="REG100557"/>
    <s v="Cust 5588"/>
    <n v="8.66"/>
    <d v="2023-05-28T00:00:00"/>
    <d v="2023-06-01T00:00:00"/>
    <s v="Sophie"/>
    <x v="2"/>
    <x v="2"/>
  </r>
  <r>
    <d v="2023-10-28T00:00:00"/>
    <x v="0"/>
    <x v="6"/>
    <n v="3"/>
    <n v="410.23"/>
    <s v="Store A"/>
    <s v="Wholesale"/>
    <n v="0.15"/>
    <x v="4"/>
    <n v="1046.0864999999999"/>
    <s v="Credit Card"/>
    <s v="FREESHIP"/>
    <n v="0"/>
    <s v="REG100558"/>
    <s v="Cust 1518"/>
    <n v="6.04"/>
    <d v="2023-10-28T00:00:00"/>
    <d v="2023-11-03T00:00:00"/>
    <s v="Eric"/>
    <x v="19"/>
    <x v="14"/>
  </r>
  <r>
    <d v="2023-11-25T00:00:00"/>
    <x v="4"/>
    <x v="4"/>
    <n v="5"/>
    <n v="99.23"/>
    <s v="Store B"/>
    <s v="Retail"/>
    <n v="0"/>
    <x v="0"/>
    <n v="496.15"/>
    <s v="Debit Card"/>
    <m/>
    <n v="0"/>
    <s v="REG100559"/>
    <s v="Cust 2819"/>
    <n v="37.659999999999997"/>
    <d v="2023-11-25T00:00:00"/>
    <d v="2023-12-02T00:00:00"/>
    <s v="Wendy"/>
    <x v="15"/>
    <x v="12"/>
  </r>
  <r>
    <d v="2024-11-17T00:00:00"/>
    <x v="1"/>
    <x v="4"/>
    <n v="9"/>
    <n v="503.18"/>
    <s v="Store B"/>
    <s v="Wholesale"/>
    <n v="0"/>
    <x v="4"/>
    <n v="4528.62"/>
    <s v="Gift Card"/>
    <s v="SAVE10"/>
    <n v="1"/>
    <s v="REG100560"/>
    <s v="Cust 1947"/>
    <n v="46.02"/>
    <d v="2024-11-17T00:00:00"/>
    <d v="2024-11-24T00:00:00"/>
    <s v="Sophie"/>
    <x v="20"/>
    <x v="1"/>
  </r>
  <r>
    <d v="2024-01-24T00:00:00"/>
    <x v="3"/>
    <x v="4"/>
    <n v="17"/>
    <n v="155.31"/>
    <s v="Store C"/>
    <s v="Retail"/>
    <n v="0.15"/>
    <x v="5"/>
    <n v="2244.2294999999999"/>
    <s v="Credit Card"/>
    <s v="WINTER15"/>
    <n v="0"/>
    <s v="REG100561"/>
    <s v="Cust 7332"/>
    <n v="27.1"/>
    <d v="2024-01-24T00:00:00"/>
    <d v="2024-01-29T00:00:00"/>
    <s v="Cameron"/>
    <x v="24"/>
    <x v="4"/>
  </r>
  <r>
    <d v="2023-06-19T00:00:00"/>
    <x v="2"/>
    <x v="3"/>
    <n v="7"/>
    <n v="303.79000000000002"/>
    <s v="Store D"/>
    <s v="Wholesale"/>
    <n v="0.15"/>
    <x v="2"/>
    <n v="1807.5505000000001"/>
    <s v="Credit Card"/>
    <s v="SAVE10"/>
    <n v="0"/>
    <s v="REG100562"/>
    <s v="Cust 7314"/>
    <n v="38.85"/>
    <d v="2023-06-19T00:00:00"/>
    <d v="2023-06-29T00:00:00"/>
    <s v="Ryan"/>
    <x v="4"/>
    <x v="2"/>
  </r>
  <r>
    <d v="2025-01-13T00:00:00"/>
    <x v="0"/>
    <x v="1"/>
    <n v="17"/>
    <n v="263.75"/>
    <s v="Store B"/>
    <s v="Retail"/>
    <n v="0"/>
    <x v="1"/>
    <n v="4483.75"/>
    <s v="Online"/>
    <m/>
    <n v="1"/>
    <s v="REG100563"/>
    <s v="Cust 5296"/>
    <n v="12.97"/>
    <d v="2025-01-13T00:00:00"/>
    <d v="2025-01-18T00:00:00"/>
    <s v="Eric"/>
    <x v="12"/>
    <x v="3"/>
  </r>
  <r>
    <d v="2024-01-24T00:00:00"/>
    <x v="0"/>
    <x v="1"/>
    <n v="4"/>
    <n v="179.92"/>
    <s v="Store D"/>
    <s v="Retail"/>
    <n v="0.1"/>
    <x v="4"/>
    <n v="647.71199999999999"/>
    <s v="Online"/>
    <s v="WINTER15"/>
    <n v="0"/>
    <s v="REG100564"/>
    <s v="Cust 2964"/>
    <n v="35.26"/>
    <d v="2024-01-24T00:00:00"/>
    <d v="2024-02-01T00:00:00"/>
    <s v="Eric"/>
    <x v="24"/>
    <x v="4"/>
  </r>
  <r>
    <d v="2025-01-06T00:00:00"/>
    <x v="1"/>
    <x v="6"/>
    <n v="2"/>
    <n v="264"/>
    <s v="Store D"/>
    <s v="Retail"/>
    <n v="0"/>
    <x v="5"/>
    <n v="528"/>
    <s v="Gift Card"/>
    <s v="SAVE10"/>
    <n v="0"/>
    <s v="REG100565"/>
    <s v="Cust 5381"/>
    <n v="26.73"/>
    <d v="2025-01-06T00:00:00"/>
    <d v="2025-01-14T00:00:00"/>
    <s v="Sophie"/>
    <x v="12"/>
    <x v="3"/>
  </r>
  <r>
    <d v="2025-01-02T00:00:00"/>
    <x v="3"/>
    <x v="0"/>
    <n v="4"/>
    <n v="403.97"/>
    <s v="Store A"/>
    <s v="Wholesale"/>
    <n v="0.05"/>
    <x v="1"/>
    <n v="1535.086"/>
    <s v="Cash"/>
    <s v="WINTER15"/>
    <n v="0"/>
    <s v="REG100566"/>
    <s v="Cust 5436"/>
    <n v="39.92"/>
    <d v="2025-01-02T00:00:00"/>
    <d v="2025-01-09T00:00:00"/>
    <s v="Cameron"/>
    <x v="12"/>
    <x v="3"/>
  </r>
  <r>
    <d v="2023-02-22T00:00:00"/>
    <x v="2"/>
    <x v="2"/>
    <n v="4"/>
    <n v="85.96"/>
    <s v="Store A"/>
    <s v="Retail"/>
    <n v="0.1"/>
    <x v="2"/>
    <n v="309.45600000000002"/>
    <s v="Credit Card"/>
    <m/>
    <n v="0"/>
    <s v="REG100567"/>
    <s v="Cust 1494"/>
    <n v="32.119999999999997"/>
    <d v="2023-02-22T00:00:00"/>
    <d v="2023-03-03T00:00:00"/>
    <s v="Ryan"/>
    <x v="0"/>
    <x v="0"/>
  </r>
  <r>
    <d v="2025-02-06T00:00:00"/>
    <x v="0"/>
    <x v="2"/>
    <n v="2"/>
    <n v="93.49"/>
    <s v="Store A"/>
    <s v="Wholesale"/>
    <n v="0.1"/>
    <x v="1"/>
    <n v="168.28200000000001"/>
    <s v="Debit Card"/>
    <s v="WINTER15"/>
    <n v="0"/>
    <s v="REG100568"/>
    <s v="Cust 4380"/>
    <n v="26.31"/>
    <d v="2025-02-06T00:00:00"/>
    <d v="2025-02-16T00:00:00"/>
    <s v="Eric"/>
    <x v="3"/>
    <x v="3"/>
  </r>
  <r>
    <d v="2024-09-26T00:00:00"/>
    <x v="0"/>
    <x v="2"/>
    <n v="11"/>
    <n v="144.29"/>
    <s v="Store B"/>
    <s v="Retail"/>
    <n v="0.05"/>
    <x v="5"/>
    <n v="1507.8305"/>
    <s v="Credit Card"/>
    <s v="WINTER15"/>
    <n v="0"/>
    <s v="REG100569"/>
    <s v="Cust 7054"/>
    <n v="11.91"/>
    <d v="2024-09-26T00:00:00"/>
    <d v="2024-09-30T00:00:00"/>
    <s v="Eric"/>
    <x v="26"/>
    <x v="5"/>
  </r>
  <r>
    <d v="2025-03-28T00:00:00"/>
    <x v="2"/>
    <x v="3"/>
    <n v="18"/>
    <n v="553.23"/>
    <s v="Store D"/>
    <s v="Wholesale"/>
    <n v="0"/>
    <x v="2"/>
    <n v="9958.14"/>
    <s v="Cash"/>
    <s v="FREESHIP"/>
    <n v="0"/>
    <s v="REG100570"/>
    <s v="Cust 1375"/>
    <n v="31.76"/>
    <d v="2025-03-28T00:00:00"/>
    <d v="2025-04-01T00:00:00"/>
    <s v="Ryan"/>
    <x v="8"/>
    <x v="6"/>
  </r>
  <r>
    <d v="2023-07-01T00:00:00"/>
    <x v="0"/>
    <x v="3"/>
    <n v="9"/>
    <n v="228.3"/>
    <s v="Store B"/>
    <s v="Retail"/>
    <n v="0.05"/>
    <x v="0"/>
    <n v="1951.9649999999999"/>
    <s v="Debit Card"/>
    <s v="FREESHIP"/>
    <n v="0"/>
    <s v="REG100571"/>
    <s v="Cust 5698"/>
    <n v="8.75"/>
    <d v="2023-07-01T00:00:00"/>
    <d v="2023-07-09T00:00:00"/>
    <s v="Eric"/>
    <x v="11"/>
    <x v="2"/>
  </r>
  <r>
    <d v="2023-04-29T00:00:00"/>
    <x v="4"/>
    <x v="2"/>
    <n v="7"/>
    <n v="235.94"/>
    <s v="Store D"/>
    <s v="Wholesale"/>
    <n v="0.1"/>
    <x v="1"/>
    <n v="1486.422"/>
    <s v="Gift Card"/>
    <s v="FREESHIP"/>
    <n v="0"/>
    <s v="REG100572"/>
    <s v="Cust 3259"/>
    <n v="8.44"/>
    <d v="2023-04-29T00:00:00"/>
    <d v="2023-05-04T00:00:00"/>
    <s v="Wendy"/>
    <x v="21"/>
    <x v="13"/>
  </r>
  <r>
    <d v="2023-04-30T00:00:00"/>
    <x v="0"/>
    <x v="6"/>
    <n v="17"/>
    <n v="369.52"/>
    <s v="Store C"/>
    <s v="Wholesale"/>
    <n v="0"/>
    <x v="3"/>
    <n v="6281.84"/>
    <s v="Gift Card"/>
    <m/>
    <n v="0"/>
    <s v="REG100573"/>
    <s v="Cust 9295"/>
    <n v="17.12"/>
    <d v="2023-04-30T00:00:00"/>
    <d v="2023-05-06T00:00:00"/>
    <s v="Eric"/>
    <x v="21"/>
    <x v="13"/>
  </r>
  <r>
    <d v="2024-03-14T00:00:00"/>
    <x v="4"/>
    <x v="1"/>
    <n v="8"/>
    <n v="142.09"/>
    <s v="Store A"/>
    <s v="Wholesale"/>
    <n v="0"/>
    <x v="0"/>
    <n v="1136.72"/>
    <s v="Credit Card"/>
    <s v="WINTER15"/>
    <n v="0"/>
    <s v="REG100574"/>
    <s v="Cust 7035"/>
    <n v="38.97"/>
    <d v="2024-03-14T00:00:00"/>
    <d v="2024-03-20T00:00:00"/>
    <s v="Wendy"/>
    <x v="25"/>
    <x v="7"/>
  </r>
  <r>
    <d v="2023-06-27T00:00:00"/>
    <x v="3"/>
    <x v="3"/>
    <n v="3"/>
    <n v="497.61"/>
    <s v="Store B"/>
    <s v="Wholesale"/>
    <n v="0.15"/>
    <x v="1"/>
    <n v="1268.9055000000001"/>
    <s v="Cash"/>
    <s v="FREESHIP"/>
    <n v="1"/>
    <s v="REG100575"/>
    <s v="Cust 9049"/>
    <n v="13.97"/>
    <d v="2023-06-27T00:00:00"/>
    <d v="2023-07-02T00:00:00"/>
    <s v="Cameron"/>
    <x v="4"/>
    <x v="2"/>
  </r>
  <r>
    <d v="2024-04-10T00:00:00"/>
    <x v="2"/>
    <x v="0"/>
    <n v="19"/>
    <n v="9.48"/>
    <s v="Store A"/>
    <s v="Wholesale"/>
    <n v="0"/>
    <x v="3"/>
    <n v="180.12"/>
    <s v="Online"/>
    <m/>
    <n v="0"/>
    <s v="REG100576"/>
    <s v="Cust 6173"/>
    <n v="22.33"/>
    <d v="2024-04-10T00:00:00"/>
    <d v="2024-04-12T00:00:00"/>
    <s v="Ryan"/>
    <x v="9"/>
    <x v="7"/>
  </r>
  <r>
    <d v="2023-08-30T00:00:00"/>
    <x v="3"/>
    <x v="6"/>
    <n v="8"/>
    <n v="55.27"/>
    <s v="Store A"/>
    <s v="Wholesale"/>
    <n v="0.15"/>
    <x v="5"/>
    <n v="375.83600000000001"/>
    <s v="Cash"/>
    <s v="WINTER15"/>
    <n v="0"/>
    <s v="REG100577"/>
    <s v="Cust 3447"/>
    <n v="16.84"/>
    <d v="2023-08-30T00:00:00"/>
    <d v="2023-09-01T00:00:00"/>
    <s v="Cameron"/>
    <x v="18"/>
    <x v="9"/>
  </r>
  <r>
    <d v="2023-10-23T00:00:00"/>
    <x v="4"/>
    <x v="0"/>
    <n v="17"/>
    <n v="25.95"/>
    <s v="Store B"/>
    <s v="Wholesale"/>
    <n v="0.05"/>
    <x v="5"/>
    <n v="419.09249999999997"/>
    <s v="Gift Card"/>
    <m/>
    <n v="0"/>
    <s v="REG100578"/>
    <s v="Cust 2218"/>
    <n v="27.68"/>
    <d v="2023-10-23T00:00:00"/>
    <d v="2023-10-30T00:00:00"/>
    <s v="Wendy"/>
    <x v="19"/>
    <x v="14"/>
  </r>
  <r>
    <d v="2023-03-23T00:00:00"/>
    <x v="2"/>
    <x v="2"/>
    <n v="18"/>
    <n v="209.65"/>
    <s v="Store A"/>
    <s v="Wholesale"/>
    <n v="0.1"/>
    <x v="3"/>
    <n v="3396.33"/>
    <s v="Debit Card"/>
    <m/>
    <n v="0"/>
    <s v="REG100579"/>
    <s v="Cust 8882"/>
    <n v="42.04"/>
    <d v="2023-03-23T00:00:00"/>
    <d v="2023-03-30T00:00:00"/>
    <s v="Ryan"/>
    <x v="17"/>
    <x v="13"/>
  </r>
  <r>
    <d v="2024-09-21T00:00:00"/>
    <x v="3"/>
    <x v="0"/>
    <n v="13"/>
    <n v="75.77"/>
    <s v="Store B"/>
    <s v="Wholesale"/>
    <n v="0.15"/>
    <x v="2"/>
    <n v="837.25850000000003"/>
    <s v="Debit Card"/>
    <s v="SAVE10"/>
    <n v="0"/>
    <s v="REG100580"/>
    <s v="Cust 6709"/>
    <n v="41.94"/>
    <d v="2024-09-21T00:00:00"/>
    <d v="2024-09-30T00:00:00"/>
    <s v="Cameron"/>
    <x v="26"/>
    <x v="5"/>
  </r>
  <r>
    <d v="2024-12-26T00:00:00"/>
    <x v="4"/>
    <x v="5"/>
    <n v="5"/>
    <n v="307.83999999999997"/>
    <s v="Store B"/>
    <s v="Wholesale"/>
    <n v="0.1"/>
    <x v="5"/>
    <n v="1385.28"/>
    <s v="Online"/>
    <s v="SAVE10"/>
    <n v="0"/>
    <s v="REG100581"/>
    <s v="Cust 8727"/>
    <n v="13.61"/>
    <d v="2024-12-26T00:00:00"/>
    <d v="2025-01-03T00:00:00"/>
    <s v="Wendy"/>
    <x v="1"/>
    <x v="1"/>
  </r>
  <r>
    <d v="2023-02-26T00:00:00"/>
    <x v="0"/>
    <x v="1"/>
    <n v="13"/>
    <n v="6.5"/>
    <s v="Store A"/>
    <s v="Wholesale"/>
    <n v="0"/>
    <x v="4"/>
    <n v="84.5"/>
    <s v="Cash"/>
    <m/>
    <n v="0"/>
    <s v="REG100582"/>
    <s v="Cust 8359"/>
    <n v="20.02"/>
    <d v="2023-02-26T00:00:00"/>
    <d v="2023-03-03T00:00:00"/>
    <s v="Eric"/>
    <x v="0"/>
    <x v="0"/>
  </r>
  <r>
    <d v="2024-12-10T00:00:00"/>
    <x v="2"/>
    <x v="4"/>
    <n v="8"/>
    <n v="70.790000000000006"/>
    <s v="Store B"/>
    <s v="Wholesale"/>
    <n v="0"/>
    <x v="4"/>
    <n v="566.32000000000005"/>
    <s v="Online"/>
    <m/>
    <n v="0"/>
    <s v="REG100583"/>
    <s v="Cust 1514"/>
    <n v="46.35"/>
    <d v="2024-12-10T00:00:00"/>
    <d v="2024-12-14T00:00:00"/>
    <s v="Ryan"/>
    <x v="1"/>
    <x v="1"/>
  </r>
  <r>
    <d v="2025-01-01T00:00:00"/>
    <x v="0"/>
    <x v="0"/>
    <n v="17"/>
    <n v="584.70000000000005"/>
    <s v="Store D"/>
    <s v="Retail"/>
    <n v="0.1"/>
    <x v="0"/>
    <n v="8945.9100000000017"/>
    <s v="Online"/>
    <m/>
    <n v="1"/>
    <s v="REG100584"/>
    <s v="Cust 2774"/>
    <n v="46.59"/>
    <d v="2025-01-01T00:00:00"/>
    <d v="2025-01-03T00:00:00"/>
    <s v="Eric"/>
    <x v="12"/>
    <x v="3"/>
  </r>
  <r>
    <d v="2025-03-14T00:00:00"/>
    <x v="0"/>
    <x v="1"/>
    <n v="4"/>
    <n v="23.27"/>
    <s v="Store C"/>
    <s v="Wholesale"/>
    <n v="0.15"/>
    <x v="4"/>
    <n v="79.117999999999995"/>
    <s v="Online"/>
    <s v="SAVE10"/>
    <n v="0"/>
    <s v="REG100585"/>
    <s v="Cust 4270"/>
    <n v="32.86"/>
    <d v="2025-03-14T00:00:00"/>
    <d v="2025-03-21T00:00:00"/>
    <s v="Eric"/>
    <x v="8"/>
    <x v="6"/>
  </r>
  <r>
    <d v="2024-01-16T00:00:00"/>
    <x v="1"/>
    <x v="5"/>
    <n v="5"/>
    <n v="440.93"/>
    <s v="Store B"/>
    <s v="Wholesale"/>
    <n v="0.1"/>
    <x v="3"/>
    <n v="1984.1849999999999"/>
    <s v="Gift Card"/>
    <m/>
    <n v="0"/>
    <s v="REG100586"/>
    <s v="Cust 3123"/>
    <n v="23.84"/>
    <d v="2024-01-16T00:00:00"/>
    <d v="2024-01-20T00:00:00"/>
    <s v="Sophie"/>
    <x v="24"/>
    <x v="4"/>
  </r>
  <r>
    <d v="2024-04-19T00:00:00"/>
    <x v="4"/>
    <x v="5"/>
    <n v="10"/>
    <n v="278.45"/>
    <s v="Store D"/>
    <s v="Wholesale"/>
    <n v="0"/>
    <x v="0"/>
    <n v="2784.5"/>
    <s v="Credit Card"/>
    <s v="SAVE10"/>
    <n v="0"/>
    <s v="REG100587"/>
    <s v="Cust 7414"/>
    <n v="11.13"/>
    <d v="2024-04-19T00:00:00"/>
    <d v="2024-04-25T00:00:00"/>
    <s v="Wendy"/>
    <x v="9"/>
    <x v="7"/>
  </r>
  <r>
    <d v="2023-12-08T00:00:00"/>
    <x v="2"/>
    <x v="4"/>
    <n v="14"/>
    <n v="382.19"/>
    <s v="Store B"/>
    <s v="Wholesale"/>
    <n v="0.05"/>
    <x v="2"/>
    <n v="5083.1269999999986"/>
    <s v="Cash"/>
    <s v="FREESHIP"/>
    <n v="1"/>
    <s v="REG100588"/>
    <s v="Cust 5051"/>
    <n v="49.12"/>
    <d v="2023-12-08T00:00:00"/>
    <d v="2023-12-11T00:00:00"/>
    <s v="Ryan"/>
    <x v="27"/>
    <x v="12"/>
  </r>
  <r>
    <d v="2023-03-15T00:00:00"/>
    <x v="2"/>
    <x v="4"/>
    <n v="14"/>
    <n v="232.49"/>
    <s v="Store D"/>
    <s v="Wholesale"/>
    <n v="0.05"/>
    <x v="4"/>
    <n v="3092.1170000000002"/>
    <s v="Online"/>
    <s v="SAVE10"/>
    <n v="1"/>
    <s v="REG100589"/>
    <s v="Cust 5975"/>
    <n v="5.32"/>
    <d v="2023-03-15T00:00:00"/>
    <d v="2023-03-19T00:00:00"/>
    <s v="Ryan"/>
    <x v="17"/>
    <x v="13"/>
  </r>
  <r>
    <d v="2025-02-07T00:00:00"/>
    <x v="1"/>
    <x v="0"/>
    <n v="17"/>
    <n v="15.01"/>
    <s v="Store D"/>
    <s v="Wholesale"/>
    <n v="0.15"/>
    <x v="4"/>
    <n v="216.89449999999999"/>
    <s v="Debit Card"/>
    <s v="SAVE10"/>
    <n v="1"/>
    <s v="REG100590"/>
    <s v="Cust 6948"/>
    <n v="22"/>
    <d v="2025-02-07T00:00:00"/>
    <d v="2025-02-13T00:00:00"/>
    <s v="Sophie"/>
    <x v="3"/>
    <x v="3"/>
  </r>
  <r>
    <d v="2025-06-27T00:00:00"/>
    <x v="2"/>
    <x v="4"/>
    <n v="11"/>
    <n v="29.41"/>
    <s v="Store D"/>
    <s v="Retail"/>
    <n v="0.05"/>
    <x v="3"/>
    <n v="307.33449999999999"/>
    <s v="Credit Card"/>
    <s v="SAVE10"/>
    <n v="0"/>
    <s v="REG100591"/>
    <s v="Cust 8253"/>
    <n v="6.16"/>
    <d v="2025-06-27T00:00:00"/>
    <d v="2025-07-02T00:00:00"/>
    <s v="Ryan"/>
    <x v="16"/>
    <x v="10"/>
  </r>
  <r>
    <d v="2024-12-17T00:00:00"/>
    <x v="3"/>
    <x v="5"/>
    <n v="1"/>
    <n v="486.19"/>
    <s v="Store B"/>
    <s v="Retail"/>
    <n v="0.05"/>
    <x v="2"/>
    <n v="461.88049999999998"/>
    <s v="Online"/>
    <s v="SAVE10"/>
    <n v="0"/>
    <s v="REG100592"/>
    <s v="Cust 7238"/>
    <n v="41.73"/>
    <d v="2024-12-17T00:00:00"/>
    <d v="2024-12-20T00:00:00"/>
    <s v="Cameron"/>
    <x v="1"/>
    <x v="1"/>
  </r>
  <r>
    <d v="2024-05-03T00:00:00"/>
    <x v="1"/>
    <x v="0"/>
    <n v="6"/>
    <n v="266.67"/>
    <s v="Store B"/>
    <s v="Wholesale"/>
    <n v="0.05"/>
    <x v="0"/>
    <n v="1520.019"/>
    <s v="Debit Card"/>
    <m/>
    <n v="0"/>
    <s v="REG100593"/>
    <s v="Cust 2219"/>
    <n v="48.49"/>
    <d v="2024-05-03T00:00:00"/>
    <d v="2024-05-11T00:00:00"/>
    <s v="Sophie"/>
    <x v="14"/>
    <x v="11"/>
  </r>
  <r>
    <d v="2023-12-26T00:00:00"/>
    <x v="1"/>
    <x v="6"/>
    <n v="3"/>
    <n v="300.8"/>
    <s v="Store B"/>
    <s v="Wholesale"/>
    <n v="0.1"/>
    <x v="3"/>
    <n v="812.16000000000008"/>
    <s v="Cash"/>
    <m/>
    <n v="1"/>
    <s v="REG100594"/>
    <s v="Cust 4297"/>
    <n v="15.98"/>
    <d v="2023-12-26T00:00:00"/>
    <d v="2024-01-01T00:00:00"/>
    <s v="Sophie"/>
    <x v="27"/>
    <x v="12"/>
  </r>
  <r>
    <d v="2024-05-13T00:00:00"/>
    <x v="3"/>
    <x v="6"/>
    <n v="11"/>
    <n v="79.63"/>
    <s v="Store B"/>
    <s v="Wholesale"/>
    <n v="0.05"/>
    <x v="2"/>
    <n v="832.13349999999991"/>
    <s v="Online"/>
    <m/>
    <n v="0"/>
    <s v="REG100595"/>
    <s v="Cust 6665"/>
    <n v="43.84"/>
    <d v="2024-05-13T00:00:00"/>
    <d v="2024-05-19T00:00:00"/>
    <s v="Cameron"/>
    <x v="14"/>
    <x v="11"/>
  </r>
  <r>
    <d v="2023-10-07T00:00:00"/>
    <x v="1"/>
    <x v="0"/>
    <n v="6"/>
    <n v="505.7"/>
    <s v="Store C"/>
    <s v="Retail"/>
    <n v="0"/>
    <x v="1"/>
    <n v="3034.2"/>
    <s v="Cash"/>
    <m/>
    <n v="0"/>
    <s v="REG100596"/>
    <s v="Cust 4252"/>
    <n v="40.380000000000003"/>
    <d v="2023-10-07T00:00:00"/>
    <d v="2023-10-16T00:00:00"/>
    <s v="Sophie"/>
    <x v="19"/>
    <x v="14"/>
  </r>
  <r>
    <d v="2023-07-11T00:00:00"/>
    <x v="4"/>
    <x v="6"/>
    <n v="5"/>
    <n v="569.62"/>
    <s v="Store C"/>
    <s v="Wholesale"/>
    <n v="0"/>
    <x v="4"/>
    <n v="2848.1"/>
    <s v="Debit Card"/>
    <s v="FREESHIP"/>
    <n v="0"/>
    <s v="REG100597"/>
    <s v="Cust 6104"/>
    <n v="48.8"/>
    <d v="2023-07-11T00:00:00"/>
    <d v="2023-07-13T00:00:00"/>
    <s v="Wendy"/>
    <x v="11"/>
    <x v="9"/>
  </r>
  <r>
    <d v="2025-01-31T00:00:00"/>
    <x v="1"/>
    <x v="5"/>
    <n v="19"/>
    <n v="90.85"/>
    <s v="Store C"/>
    <s v="Retail"/>
    <n v="0.05"/>
    <x v="1"/>
    <n v="1639.8425"/>
    <s v="Credit Card"/>
    <s v="SAVE10"/>
    <n v="0"/>
    <s v="REG100598"/>
    <s v="Cust 6407"/>
    <n v="22.28"/>
    <d v="2025-01-31T00:00:00"/>
    <d v="2025-02-06T00:00:00"/>
    <s v="Sophie"/>
    <x v="12"/>
    <x v="3"/>
  </r>
  <r>
    <d v="2023-02-04T00:00:00"/>
    <x v="1"/>
    <x v="3"/>
    <n v="2"/>
    <n v="296.91000000000003"/>
    <s v="Store A"/>
    <s v="Wholesale"/>
    <n v="0.05"/>
    <x v="3"/>
    <n v="564.12900000000002"/>
    <s v="Debit Card"/>
    <s v="WINTER15"/>
    <n v="0"/>
    <s v="REG100599"/>
    <s v="Cust 3573"/>
    <n v="44.35"/>
    <d v="2023-02-04T00:00:00"/>
    <d v="2023-02-07T00:00:00"/>
    <s v="Sophie"/>
    <x v="0"/>
    <x v="0"/>
  </r>
  <r>
    <d v="2023-09-02T00:00:00"/>
    <x v="1"/>
    <x v="6"/>
    <n v="2"/>
    <n v="6.19"/>
    <s v="Store B"/>
    <s v="Retail"/>
    <n v="0.1"/>
    <x v="2"/>
    <n v="11.141999999999999"/>
    <s v="Credit Card"/>
    <s v="FREESHIP"/>
    <n v="1"/>
    <s v="REG100600"/>
    <s v="Cust 5280"/>
    <n v="47.24"/>
    <d v="2023-09-02T00:00:00"/>
    <d v="2023-09-12T00:00:00"/>
    <s v="Sophie"/>
    <x v="22"/>
    <x v="9"/>
  </r>
  <r>
    <d v="2024-12-13T00:00:00"/>
    <x v="3"/>
    <x v="4"/>
    <n v="18"/>
    <n v="207.35"/>
    <s v="Store D"/>
    <s v="Wholesale"/>
    <n v="0.15"/>
    <x v="1"/>
    <n v="3172.454999999999"/>
    <s v="Debit Card"/>
    <s v="FREESHIP"/>
    <n v="0"/>
    <s v="REG100601"/>
    <s v="Cust 2365"/>
    <n v="11.17"/>
    <d v="2024-12-13T00:00:00"/>
    <d v="2024-12-15T00:00:00"/>
    <s v="Cameron"/>
    <x v="1"/>
    <x v="1"/>
  </r>
  <r>
    <d v="2023-10-13T00:00:00"/>
    <x v="3"/>
    <x v="5"/>
    <n v="5"/>
    <n v="75.27"/>
    <s v="Store A"/>
    <s v="Wholesale"/>
    <n v="0"/>
    <x v="3"/>
    <n v="376.35"/>
    <s v="Cash"/>
    <m/>
    <n v="0"/>
    <s v="REG100602"/>
    <s v="Cust 7130"/>
    <n v="31.61"/>
    <d v="2023-10-13T00:00:00"/>
    <d v="2023-10-22T00:00:00"/>
    <s v="Cameron"/>
    <x v="19"/>
    <x v="14"/>
  </r>
  <r>
    <d v="2024-10-03T00:00:00"/>
    <x v="1"/>
    <x v="4"/>
    <n v="3"/>
    <n v="136.15"/>
    <s v="Store A"/>
    <s v="Retail"/>
    <n v="0.1"/>
    <x v="4"/>
    <n v="367.60500000000008"/>
    <s v="Gift Card"/>
    <s v="SAVE10"/>
    <n v="0"/>
    <s v="REG100603"/>
    <s v="Cust 6539"/>
    <n v="48.38"/>
    <d v="2024-10-03T00:00:00"/>
    <d v="2024-10-07T00:00:00"/>
    <s v="Sophie"/>
    <x v="7"/>
    <x v="5"/>
  </r>
  <r>
    <d v="2024-04-28T00:00:00"/>
    <x v="3"/>
    <x v="2"/>
    <n v="5"/>
    <n v="544.66"/>
    <s v="Store B"/>
    <s v="Retail"/>
    <n v="0.1"/>
    <x v="4"/>
    <n v="2450.9699999999998"/>
    <s v="Online"/>
    <s v="SAVE10"/>
    <n v="0"/>
    <s v="REG100604"/>
    <s v="Cust 1656"/>
    <n v="8.39"/>
    <d v="2024-04-28T00:00:00"/>
    <d v="2024-05-04T00:00:00"/>
    <s v="Cameron"/>
    <x v="9"/>
    <x v="7"/>
  </r>
  <r>
    <d v="2024-02-07T00:00:00"/>
    <x v="3"/>
    <x v="2"/>
    <n v="8"/>
    <n v="561.9"/>
    <s v="Store A"/>
    <s v="Retail"/>
    <n v="0.15"/>
    <x v="5"/>
    <n v="3820.92"/>
    <s v="Online"/>
    <s v="FREESHIP"/>
    <n v="1"/>
    <s v="REG100605"/>
    <s v="Cust 1932"/>
    <n v="15.97"/>
    <d v="2024-02-07T00:00:00"/>
    <d v="2024-02-14T00:00:00"/>
    <s v="Cameron"/>
    <x v="5"/>
    <x v="4"/>
  </r>
  <r>
    <d v="2023-02-08T00:00:00"/>
    <x v="1"/>
    <x v="3"/>
    <n v="20"/>
    <n v="313.47000000000003"/>
    <s v="Store C"/>
    <s v="Retail"/>
    <n v="0.15"/>
    <x v="1"/>
    <n v="5328.9900000000007"/>
    <s v="Online"/>
    <s v="FREESHIP"/>
    <n v="0"/>
    <s v="REG100606"/>
    <s v="Cust 7367"/>
    <n v="18.170000000000002"/>
    <d v="2023-02-08T00:00:00"/>
    <d v="2023-02-11T00:00:00"/>
    <s v="Sophie"/>
    <x v="0"/>
    <x v="0"/>
  </r>
  <r>
    <d v="2023-06-17T00:00:00"/>
    <x v="1"/>
    <x v="1"/>
    <n v="1"/>
    <n v="418.45"/>
    <s v="Store C"/>
    <s v="Retail"/>
    <n v="0.15"/>
    <x v="4"/>
    <n v="355.6825"/>
    <s v="Cash"/>
    <s v="WINTER15"/>
    <n v="0"/>
    <s v="REG100607"/>
    <s v="Cust 1116"/>
    <n v="35.58"/>
    <d v="2023-06-17T00:00:00"/>
    <d v="2023-06-19T00:00:00"/>
    <s v="Sophie"/>
    <x v="4"/>
    <x v="2"/>
  </r>
  <r>
    <d v="2024-07-29T00:00:00"/>
    <x v="4"/>
    <x v="4"/>
    <n v="8"/>
    <n v="420.75"/>
    <s v="Store B"/>
    <s v="Wholesale"/>
    <n v="0.1"/>
    <x v="5"/>
    <n v="3029.4"/>
    <s v="Online"/>
    <s v="SAVE10"/>
    <n v="1"/>
    <s v="REG100608"/>
    <s v="Cust 4464"/>
    <n v="44.61"/>
    <d v="2024-07-29T00:00:00"/>
    <d v="2024-08-01T00:00:00"/>
    <s v="Wendy"/>
    <x v="10"/>
    <x v="8"/>
  </r>
  <r>
    <d v="2024-01-29T00:00:00"/>
    <x v="4"/>
    <x v="6"/>
    <n v="16"/>
    <n v="514.36"/>
    <s v="Store D"/>
    <s v="Wholesale"/>
    <n v="0"/>
    <x v="1"/>
    <n v="8229.76"/>
    <s v="Online"/>
    <s v="SAVE10"/>
    <n v="0"/>
    <s v="REG100609"/>
    <s v="Cust 2543"/>
    <n v="40.75"/>
    <d v="2024-01-29T00:00:00"/>
    <d v="2024-02-01T00:00:00"/>
    <s v="Wendy"/>
    <x v="24"/>
    <x v="4"/>
  </r>
  <r>
    <d v="2024-01-18T00:00:00"/>
    <x v="0"/>
    <x v="1"/>
    <n v="2"/>
    <n v="297.2"/>
    <s v="Store B"/>
    <s v="Retail"/>
    <n v="0.1"/>
    <x v="2"/>
    <n v="534.96"/>
    <s v="Gift Card"/>
    <s v="FREESHIP"/>
    <n v="0"/>
    <s v="REG100610"/>
    <s v="Cust 7948"/>
    <n v="8.7100000000000009"/>
    <d v="2024-01-18T00:00:00"/>
    <d v="2024-01-23T00:00:00"/>
    <s v="Eric"/>
    <x v="24"/>
    <x v="4"/>
  </r>
  <r>
    <d v="2024-08-12T00:00:00"/>
    <x v="2"/>
    <x v="3"/>
    <n v="10"/>
    <n v="278"/>
    <s v="Store C"/>
    <s v="Retail"/>
    <n v="0"/>
    <x v="5"/>
    <n v="2780"/>
    <s v="Credit Card"/>
    <m/>
    <n v="0"/>
    <s v="REG100611"/>
    <s v="Cust 3199"/>
    <n v="24.25"/>
    <d v="2024-08-12T00:00:00"/>
    <d v="2024-08-22T00:00:00"/>
    <s v="Ryan"/>
    <x v="29"/>
    <x v="8"/>
  </r>
  <r>
    <d v="2025-04-16T00:00:00"/>
    <x v="4"/>
    <x v="4"/>
    <n v="8"/>
    <n v="583.16999999999996"/>
    <s v="Store D"/>
    <s v="Wholesale"/>
    <n v="0.1"/>
    <x v="2"/>
    <n v="4198.8239999999996"/>
    <s v="Credit Card"/>
    <s v="WINTER15"/>
    <n v="0"/>
    <s v="REG100612"/>
    <s v="Cust 2800"/>
    <n v="49.18"/>
    <d v="2025-04-16T00:00:00"/>
    <d v="2025-04-20T00:00:00"/>
    <s v="Wendy"/>
    <x v="28"/>
    <x v="6"/>
  </r>
  <r>
    <d v="2023-02-26T00:00:00"/>
    <x v="3"/>
    <x v="2"/>
    <n v="16"/>
    <n v="75.62"/>
    <s v="Store D"/>
    <s v="Retail"/>
    <n v="0.1"/>
    <x v="4"/>
    <n v="1088.9280000000001"/>
    <s v="Cash"/>
    <s v="WINTER15"/>
    <n v="0"/>
    <s v="REG100613"/>
    <s v="Cust 3863"/>
    <n v="27.39"/>
    <d v="2023-02-26T00:00:00"/>
    <d v="2023-03-02T00:00:00"/>
    <s v="Cameron"/>
    <x v="0"/>
    <x v="0"/>
  </r>
  <r>
    <d v="2023-01-07T00:00:00"/>
    <x v="0"/>
    <x v="2"/>
    <n v="13"/>
    <n v="561.62"/>
    <s v="Store C"/>
    <s v="Wholesale"/>
    <n v="0.05"/>
    <x v="2"/>
    <n v="6936.0069999999996"/>
    <s v="Gift Card"/>
    <s v="FREESHIP"/>
    <n v="0"/>
    <s v="REG100614"/>
    <s v="Cust 8391"/>
    <n v="12.91"/>
    <d v="2023-01-07T00:00:00"/>
    <d v="2023-01-11T00:00:00"/>
    <s v="Eric"/>
    <x v="6"/>
    <x v="0"/>
  </r>
  <r>
    <d v="2023-10-24T00:00:00"/>
    <x v="1"/>
    <x v="2"/>
    <n v="5"/>
    <n v="359.61"/>
    <s v="Store A"/>
    <s v="Retail"/>
    <n v="0"/>
    <x v="5"/>
    <n v="1798.05"/>
    <s v="Online"/>
    <s v="FREESHIP"/>
    <n v="0"/>
    <s v="REG100615"/>
    <s v="Cust 6711"/>
    <n v="41.31"/>
    <d v="2023-10-24T00:00:00"/>
    <d v="2023-11-03T00:00:00"/>
    <s v="Sophie"/>
    <x v="19"/>
    <x v="14"/>
  </r>
  <r>
    <d v="2024-01-02T00:00:00"/>
    <x v="2"/>
    <x v="5"/>
    <n v="15"/>
    <n v="115.48"/>
    <s v="Store A"/>
    <s v="Retail"/>
    <n v="0.15"/>
    <x v="2"/>
    <n v="1472.37"/>
    <s v="Credit Card"/>
    <m/>
    <n v="0"/>
    <s v="REG100616"/>
    <s v="Cust 8653"/>
    <n v="6.04"/>
    <d v="2024-01-02T00:00:00"/>
    <d v="2024-01-12T00:00:00"/>
    <s v="Ryan"/>
    <x v="24"/>
    <x v="15"/>
  </r>
  <r>
    <d v="2024-09-17T00:00:00"/>
    <x v="1"/>
    <x v="0"/>
    <n v="12"/>
    <n v="596.26"/>
    <s v="Store D"/>
    <s v="Wholesale"/>
    <n v="0.15"/>
    <x v="0"/>
    <n v="6081.8519999999999"/>
    <s v="Gift Card"/>
    <s v="WINTER15"/>
    <n v="0"/>
    <s v="REG100617"/>
    <s v="Cust 7937"/>
    <n v="28.27"/>
    <d v="2024-09-17T00:00:00"/>
    <d v="2024-09-25T00:00:00"/>
    <s v="Sophie"/>
    <x v="26"/>
    <x v="5"/>
  </r>
  <r>
    <d v="2024-05-05T00:00:00"/>
    <x v="3"/>
    <x v="5"/>
    <n v="19"/>
    <n v="401.68"/>
    <s v="Store C"/>
    <s v="Wholesale"/>
    <n v="0.05"/>
    <x v="1"/>
    <n v="7250.3239999999996"/>
    <s v="Debit Card"/>
    <s v="WINTER15"/>
    <n v="1"/>
    <s v="REG100618"/>
    <s v="Cust 5972"/>
    <n v="37.770000000000003"/>
    <d v="2024-05-05T00:00:00"/>
    <d v="2024-05-11T00:00:00"/>
    <s v="Cameron"/>
    <x v="14"/>
    <x v="11"/>
  </r>
  <r>
    <d v="2025-06-27T00:00:00"/>
    <x v="4"/>
    <x v="2"/>
    <n v="13"/>
    <n v="112.88"/>
    <s v="Store D"/>
    <s v="Retail"/>
    <n v="0"/>
    <x v="2"/>
    <n v="1467.44"/>
    <s v="Debit Card"/>
    <m/>
    <n v="0"/>
    <s v="REG100619"/>
    <s v="Cust 8597"/>
    <n v="12.39"/>
    <d v="2025-06-27T00:00:00"/>
    <d v="2025-06-29T00:00:00"/>
    <s v="Wendy"/>
    <x v="16"/>
    <x v="10"/>
  </r>
  <r>
    <d v="2024-05-14T00:00:00"/>
    <x v="4"/>
    <x v="1"/>
    <n v="6"/>
    <n v="370.08"/>
    <s v="Store D"/>
    <s v="Retail"/>
    <n v="0.15"/>
    <x v="1"/>
    <n v="1887.4079999999999"/>
    <s v="Online"/>
    <s v="SAVE10"/>
    <n v="0"/>
    <s v="REG100620"/>
    <s v="Cust 5382"/>
    <n v="7.39"/>
    <d v="2024-05-14T00:00:00"/>
    <d v="2024-05-22T00:00:00"/>
    <s v="Wendy"/>
    <x v="14"/>
    <x v="11"/>
  </r>
  <r>
    <d v="2024-02-29T00:00:00"/>
    <x v="2"/>
    <x v="3"/>
    <n v="15"/>
    <n v="119.86"/>
    <s v="Store A"/>
    <s v="Wholesale"/>
    <n v="0.15"/>
    <x v="5"/>
    <n v="1528.2149999999999"/>
    <s v="Debit Card"/>
    <m/>
    <n v="1"/>
    <s v="REG100621"/>
    <s v="Cust 4323"/>
    <n v="30.78"/>
    <d v="2024-02-29T00:00:00"/>
    <d v="2024-03-05T00:00:00"/>
    <s v="Ryan"/>
    <x v="5"/>
    <x v="4"/>
  </r>
  <r>
    <d v="2025-05-19T00:00:00"/>
    <x v="0"/>
    <x v="1"/>
    <n v="5"/>
    <n v="271.44"/>
    <s v="Store A"/>
    <s v="Wholesale"/>
    <n v="0.15"/>
    <x v="4"/>
    <n v="1153.6199999999999"/>
    <s v="Debit Card"/>
    <s v="FREESHIP"/>
    <n v="0"/>
    <s v="REG100622"/>
    <s v="Cust 1767"/>
    <n v="5.98"/>
    <d v="2025-05-19T00:00:00"/>
    <d v="2025-05-27T00:00:00"/>
    <s v="Eric"/>
    <x v="13"/>
    <x v="10"/>
  </r>
  <r>
    <d v="2024-12-02T00:00:00"/>
    <x v="0"/>
    <x v="2"/>
    <n v="9"/>
    <n v="363.39"/>
    <s v="Store B"/>
    <s v="Wholesale"/>
    <n v="0.05"/>
    <x v="4"/>
    <n v="3106.9845"/>
    <s v="Gift Card"/>
    <m/>
    <n v="0"/>
    <s v="REG100623"/>
    <s v="Cust 3845"/>
    <n v="41.64"/>
    <d v="2024-12-02T00:00:00"/>
    <d v="2024-12-04T00:00:00"/>
    <s v="Eric"/>
    <x v="1"/>
    <x v="1"/>
  </r>
  <r>
    <d v="2024-07-30T00:00:00"/>
    <x v="4"/>
    <x v="6"/>
    <n v="12"/>
    <n v="533.77"/>
    <s v="Store D"/>
    <s v="Wholesale"/>
    <n v="0.15"/>
    <x v="1"/>
    <n v="5444.4539999999997"/>
    <s v="Cash"/>
    <s v="SAVE10"/>
    <n v="0"/>
    <s v="REG100624"/>
    <s v="Cust 5912"/>
    <n v="48.71"/>
    <d v="2024-07-30T00:00:00"/>
    <d v="2024-08-04T00:00:00"/>
    <s v="Wendy"/>
    <x v="10"/>
    <x v="8"/>
  </r>
  <r>
    <d v="2023-06-25T00:00:00"/>
    <x v="1"/>
    <x v="2"/>
    <n v="12"/>
    <n v="192.03"/>
    <s v="Store B"/>
    <s v="Wholesale"/>
    <n v="0.1"/>
    <x v="3"/>
    <n v="2073.924"/>
    <s v="Credit Card"/>
    <m/>
    <n v="0"/>
    <s v="REG100625"/>
    <s v="Cust 4446"/>
    <n v="41.08"/>
    <d v="2023-06-25T00:00:00"/>
    <d v="2023-07-03T00:00:00"/>
    <s v="Sophie"/>
    <x v="4"/>
    <x v="2"/>
  </r>
  <r>
    <d v="2024-07-10T00:00:00"/>
    <x v="1"/>
    <x v="3"/>
    <n v="20"/>
    <n v="504.22"/>
    <s v="Store D"/>
    <s v="Wholesale"/>
    <n v="0"/>
    <x v="2"/>
    <n v="10084.4"/>
    <s v="Online"/>
    <s v="WINTER15"/>
    <n v="0"/>
    <s v="REG100626"/>
    <s v="Cust 6107"/>
    <n v="14.61"/>
    <d v="2024-07-10T00:00:00"/>
    <d v="2024-07-19T00:00:00"/>
    <s v="Sophie"/>
    <x v="10"/>
    <x v="8"/>
  </r>
  <r>
    <d v="2023-01-06T00:00:00"/>
    <x v="0"/>
    <x v="0"/>
    <n v="7"/>
    <n v="193.66"/>
    <s v="Store A"/>
    <s v="Wholesale"/>
    <n v="0.1"/>
    <x v="4"/>
    <n v="1220.058"/>
    <s v="Credit Card"/>
    <s v="FREESHIP"/>
    <n v="0"/>
    <s v="REG100627"/>
    <s v="Cust 3330"/>
    <n v="39.01"/>
    <d v="2023-01-06T00:00:00"/>
    <d v="2023-01-15T00:00:00"/>
    <s v="Eric"/>
    <x v="6"/>
    <x v="0"/>
  </r>
  <r>
    <d v="2024-02-24T00:00:00"/>
    <x v="1"/>
    <x v="3"/>
    <n v="3"/>
    <n v="270.83"/>
    <s v="Store B"/>
    <s v="Wholesale"/>
    <n v="0.1"/>
    <x v="3"/>
    <n v="731.24099999999999"/>
    <s v="Online"/>
    <s v="SAVE10"/>
    <n v="1"/>
    <s v="REG100628"/>
    <s v="Cust 3604"/>
    <n v="17.2"/>
    <d v="2024-02-24T00:00:00"/>
    <d v="2024-02-29T00:00:00"/>
    <s v="Sophie"/>
    <x v="5"/>
    <x v="4"/>
  </r>
  <r>
    <d v="2023-12-11T00:00:00"/>
    <x v="3"/>
    <x v="5"/>
    <n v="18"/>
    <n v="62.08"/>
    <s v="Store B"/>
    <s v="Retail"/>
    <n v="0"/>
    <x v="4"/>
    <n v="1117.44"/>
    <s v="Credit Card"/>
    <s v="SAVE10"/>
    <n v="1"/>
    <s v="REG100629"/>
    <s v="Cust 7412"/>
    <n v="8.67"/>
    <d v="2023-12-11T00:00:00"/>
    <d v="2023-12-20T00:00:00"/>
    <s v="Cameron"/>
    <x v="27"/>
    <x v="12"/>
  </r>
  <r>
    <d v="2025-02-19T00:00:00"/>
    <x v="1"/>
    <x v="6"/>
    <n v="11"/>
    <n v="505.96"/>
    <s v="Store C"/>
    <s v="Wholesale"/>
    <n v="0.15"/>
    <x v="0"/>
    <n v="4730.7259999999997"/>
    <s v="Debit Card"/>
    <s v="FREESHIP"/>
    <n v="1"/>
    <s v="REG100630"/>
    <s v="Cust 5183"/>
    <n v="22.84"/>
    <d v="2025-02-19T00:00:00"/>
    <d v="2025-02-23T00:00:00"/>
    <s v="Sophie"/>
    <x v="3"/>
    <x v="3"/>
  </r>
  <r>
    <d v="2025-03-18T00:00:00"/>
    <x v="4"/>
    <x v="5"/>
    <n v="4"/>
    <n v="62.46"/>
    <s v="Store D"/>
    <s v="Wholesale"/>
    <n v="0.15"/>
    <x v="1"/>
    <n v="212.364"/>
    <s v="Debit Card"/>
    <s v="WINTER15"/>
    <n v="0"/>
    <s v="REG100631"/>
    <s v="Cust 4825"/>
    <n v="31.91"/>
    <d v="2025-03-18T00:00:00"/>
    <d v="2025-03-26T00:00:00"/>
    <s v="Wendy"/>
    <x v="8"/>
    <x v="6"/>
  </r>
  <r>
    <d v="2023-09-22T00:00:00"/>
    <x v="1"/>
    <x v="1"/>
    <n v="7"/>
    <n v="480.08"/>
    <s v="Store B"/>
    <s v="Wholesale"/>
    <n v="0.1"/>
    <x v="4"/>
    <n v="3024.5039999999999"/>
    <s v="Online"/>
    <m/>
    <n v="1"/>
    <s v="REG100632"/>
    <s v="Cust 2123"/>
    <n v="44.37"/>
    <d v="2023-09-22T00:00:00"/>
    <d v="2023-09-27T00:00:00"/>
    <s v="Sophie"/>
    <x v="22"/>
    <x v="14"/>
  </r>
  <r>
    <d v="2023-12-23T00:00:00"/>
    <x v="4"/>
    <x v="5"/>
    <n v="18"/>
    <n v="60.66"/>
    <s v="Store A"/>
    <s v="Retail"/>
    <n v="0"/>
    <x v="5"/>
    <n v="1091.8800000000001"/>
    <s v="Online"/>
    <s v="FREESHIP"/>
    <n v="1"/>
    <s v="REG100633"/>
    <s v="Cust 8684"/>
    <n v="10.08"/>
    <d v="2023-12-23T00:00:00"/>
    <d v="2023-12-28T00:00:00"/>
    <s v="Wendy"/>
    <x v="27"/>
    <x v="12"/>
  </r>
  <r>
    <d v="2025-05-04T00:00:00"/>
    <x v="2"/>
    <x v="2"/>
    <n v="6"/>
    <n v="249.09"/>
    <s v="Store B"/>
    <s v="Retail"/>
    <n v="0.05"/>
    <x v="2"/>
    <n v="1419.8130000000001"/>
    <s v="Cash"/>
    <m/>
    <n v="0"/>
    <s v="REG100634"/>
    <s v="Cust 5964"/>
    <n v="20.38"/>
    <d v="2025-05-04T00:00:00"/>
    <d v="2025-05-10T00:00:00"/>
    <s v="Ryan"/>
    <x v="13"/>
    <x v="10"/>
  </r>
  <r>
    <d v="2025-01-11T00:00:00"/>
    <x v="0"/>
    <x v="1"/>
    <n v="20"/>
    <n v="400.05"/>
    <s v="Store D"/>
    <s v="Wholesale"/>
    <n v="0.1"/>
    <x v="4"/>
    <n v="7200.9000000000005"/>
    <s v="Debit Card"/>
    <s v="WINTER15"/>
    <n v="0"/>
    <s v="REG100635"/>
    <s v="Cust 1810"/>
    <n v="24.41"/>
    <d v="2025-01-11T00:00:00"/>
    <d v="2025-01-13T00:00:00"/>
    <s v="Eric"/>
    <x v="12"/>
    <x v="3"/>
  </r>
  <r>
    <d v="2025-04-21T00:00:00"/>
    <x v="1"/>
    <x v="6"/>
    <n v="1"/>
    <n v="130.87"/>
    <s v="Store B"/>
    <s v="Retail"/>
    <n v="0.05"/>
    <x v="4"/>
    <n v="124.3265"/>
    <s v="Online"/>
    <s v="WINTER15"/>
    <n v="0"/>
    <s v="REG100636"/>
    <s v="Cust 2685"/>
    <n v="43.21"/>
    <d v="2025-04-21T00:00:00"/>
    <d v="2025-04-24T00:00:00"/>
    <s v="Sophie"/>
    <x v="28"/>
    <x v="6"/>
  </r>
  <r>
    <d v="2023-12-13T00:00:00"/>
    <x v="3"/>
    <x v="5"/>
    <n v="11"/>
    <n v="133.08000000000001"/>
    <s v="Store A"/>
    <s v="Wholesale"/>
    <n v="0.15"/>
    <x v="2"/>
    <n v="1244.298"/>
    <s v="Credit Card"/>
    <s v="WINTER15"/>
    <n v="0"/>
    <s v="REG100637"/>
    <s v="Cust 7855"/>
    <n v="44.61"/>
    <d v="2023-12-13T00:00:00"/>
    <d v="2023-12-22T00:00:00"/>
    <s v="Cameron"/>
    <x v="27"/>
    <x v="12"/>
  </r>
  <r>
    <d v="2024-02-07T00:00:00"/>
    <x v="0"/>
    <x v="3"/>
    <n v="13"/>
    <n v="448.68"/>
    <s v="Store B"/>
    <s v="Wholesale"/>
    <n v="0.1"/>
    <x v="4"/>
    <n v="5249.5559999999996"/>
    <s v="Credit Card"/>
    <s v="FREESHIP"/>
    <n v="1"/>
    <s v="REG100638"/>
    <s v="Cust 4101"/>
    <n v="16.82"/>
    <d v="2024-02-07T00:00:00"/>
    <d v="2024-02-11T00:00:00"/>
    <s v="Eric"/>
    <x v="5"/>
    <x v="4"/>
  </r>
  <r>
    <d v="2024-04-24T00:00:00"/>
    <x v="2"/>
    <x v="5"/>
    <n v="19"/>
    <n v="36.229999999999997"/>
    <s v="Store B"/>
    <s v="Wholesale"/>
    <n v="0"/>
    <x v="4"/>
    <n v="688.36999999999989"/>
    <s v="Debit Card"/>
    <s v="WINTER15"/>
    <n v="0"/>
    <s v="REG100639"/>
    <s v="Cust 7964"/>
    <n v="33.94"/>
    <d v="2024-04-24T00:00:00"/>
    <d v="2024-04-27T00:00:00"/>
    <s v="Ryan"/>
    <x v="9"/>
    <x v="7"/>
  </r>
  <r>
    <d v="2023-09-11T00:00:00"/>
    <x v="4"/>
    <x v="3"/>
    <n v="14"/>
    <n v="113.77"/>
    <s v="Store C"/>
    <s v="Retail"/>
    <n v="0"/>
    <x v="0"/>
    <n v="1592.78"/>
    <s v="Cash"/>
    <s v="FREESHIP"/>
    <n v="0"/>
    <s v="REG100640"/>
    <s v="Cust 5857"/>
    <n v="25.35"/>
    <d v="2023-09-11T00:00:00"/>
    <d v="2023-09-16T00:00:00"/>
    <s v="Wendy"/>
    <x v="22"/>
    <x v="14"/>
  </r>
  <r>
    <d v="2025-06-09T00:00:00"/>
    <x v="3"/>
    <x v="6"/>
    <n v="2"/>
    <n v="89.6"/>
    <s v="Store A"/>
    <s v="Retail"/>
    <n v="0"/>
    <x v="4"/>
    <n v="179.2"/>
    <s v="Gift Card"/>
    <s v="FREESHIP"/>
    <n v="0"/>
    <s v="REG100641"/>
    <s v="Cust 7010"/>
    <n v="23.69"/>
    <d v="2025-06-09T00:00:00"/>
    <d v="2025-06-12T00:00:00"/>
    <s v="Cameron"/>
    <x v="16"/>
    <x v="10"/>
  </r>
  <r>
    <d v="2025-06-06T00:00:00"/>
    <x v="0"/>
    <x v="2"/>
    <n v="3"/>
    <n v="391.92"/>
    <s v="Store A"/>
    <s v="Wholesale"/>
    <n v="0.15"/>
    <x v="1"/>
    <n v="999.39599999999996"/>
    <s v="Debit Card"/>
    <s v="SAVE10"/>
    <n v="0"/>
    <s v="REG100642"/>
    <s v="Cust 7917"/>
    <n v="9.86"/>
    <d v="2025-06-06T00:00:00"/>
    <d v="2025-06-16T00:00:00"/>
    <s v="Eric"/>
    <x v="16"/>
    <x v="10"/>
  </r>
  <r>
    <d v="2024-12-23T00:00:00"/>
    <x v="1"/>
    <x v="3"/>
    <n v="10"/>
    <n v="418.93"/>
    <s v="Store C"/>
    <s v="Wholesale"/>
    <n v="0.1"/>
    <x v="5"/>
    <n v="3770.37"/>
    <s v="Credit Card"/>
    <s v="FREESHIP"/>
    <n v="0"/>
    <s v="REG100643"/>
    <s v="Cust 8111"/>
    <n v="45.63"/>
    <d v="2024-12-23T00:00:00"/>
    <d v="2024-12-28T00:00:00"/>
    <s v="Sophie"/>
    <x v="1"/>
    <x v="1"/>
  </r>
  <r>
    <d v="2023-08-27T00:00:00"/>
    <x v="0"/>
    <x v="4"/>
    <n v="12"/>
    <n v="303.08999999999997"/>
    <s v="Store B"/>
    <s v="Wholesale"/>
    <n v="0"/>
    <x v="1"/>
    <n v="3637.08"/>
    <s v="Gift Card"/>
    <s v="WINTER15"/>
    <n v="1"/>
    <s v="REG100644"/>
    <s v="Cust 4715"/>
    <n v="5.48"/>
    <d v="2023-08-27T00:00:00"/>
    <d v="2023-09-03T00:00:00"/>
    <s v="Eric"/>
    <x v="18"/>
    <x v="9"/>
  </r>
  <r>
    <d v="2023-01-09T00:00:00"/>
    <x v="0"/>
    <x v="4"/>
    <n v="10"/>
    <n v="209.95"/>
    <s v="Store A"/>
    <s v="Wholesale"/>
    <n v="0.1"/>
    <x v="0"/>
    <n v="1889.55"/>
    <s v="Cash"/>
    <s v="WINTER15"/>
    <n v="0"/>
    <s v="REG100645"/>
    <s v="Cust 8720"/>
    <n v="10.99"/>
    <d v="2023-01-09T00:00:00"/>
    <d v="2023-01-13T00:00:00"/>
    <s v="Eric"/>
    <x v="6"/>
    <x v="0"/>
  </r>
  <r>
    <d v="2025-04-22T00:00:00"/>
    <x v="0"/>
    <x v="0"/>
    <n v="8"/>
    <n v="283.63"/>
    <s v="Store C"/>
    <s v="Wholesale"/>
    <n v="0.1"/>
    <x v="1"/>
    <n v="2042.136"/>
    <s v="Cash"/>
    <s v="SAVE10"/>
    <n v="0"/>
    <s v="REG100646"/>
    <s v="Cust 8216"/>
    <n v="49.91"/>
    <d v="2025-04-22T00:00:00"/>
    <d v="2025-04-25T00:00:00"/>
    <s v="Eric"/>
    <x v="28"/>
    <x v="6"/>
  </r>
  <r>
    <d v="2023-09-06T00:00:00"/>
    <x v="1"/>
    <x v="1"/>
    <n v="7"/>
    <n v="18.36"/>
    <s v="Store D"/>
    <s v="Retail"/>
    <n v="0.1"/>
    <x v="1"/>
    <n v="115.66800000000001"/>
    <s v="Online"/>
    <m/>
    <n v="0"/>
    <s v="REG100647"/>
    <s v="Cust 6946"/>
    <n v="48.92"/>
    <d v="2023-09-06T00:00:00"/>
    <d v="2023-09-11T00:00:00"/>
    <s v="Sophie"/>
    <x v="22"/>
    <x v="14"/>
  </r>
  <r>
    <d v="2023-01-21T00:00:00"/>
    <x v="0"/>
    <x v="4"/>
    <n v="9"/>
    <n v="475.38"/>
    <s v="Store A"/>
    <s v="Wholesale"/>
    <n v="0.1"/>
    <x v="3"/>
    <n v="3850.578"/>
    <s v="Debit Card"/>
    <s v="SAVE10"/>
    <n v="0"/>
    <s v="REG100648"/>
    <s v="Cust 9888"/>
    <n v="39.979999999999997"/>
    <d v="2023-01-21T00:00:00"/>
    <d v="2023-01-27T00:00:00"/>
    <s v="Eric"/>
    <x v="6"/>
    <x v="0"/>
  </r>
  <r>
    <d v="2024-04-26T00:00:00"/>
    <x v="3"/>
    <x v="3"/>
    <n v="12"/>
    <n v="591.91999999999996"/>
    <s v="Store D"/>
    <s v="Retail"/>
    <n v="0"/>
    <x v="0"/>
    <n v="7103.0399999999991"/>
    <s v="Debit Card"/>
    <s v="SAVE10"/>
    <n v="0"/>
    <s v="REG100649"/>
    <s v="Cust 4009"/>
    <n v="25.2"/>
    <d v="2024-04-26T00:00:00"/>
    <d v="2024-05-06T00:00:00"/>
    <s v="Cameron"/>
    <x v="9"/>
    <x v="7"/>
  </r>
  <r>
    <d v="2023-06-27T00:00:00"/>
    <x v="2"/>
    <x v="1"/>
    <n v="7"/>
    <n v="93.23"/>
    <s v="Store B"/>
    <s v="Retail"/>
    <n v="0.05"/>
    <x v="1"/>
    <n v="619.97950000000003"/>
    <s v="Credit Card"/>
    <s v="FREESHIP"/>
    <n v="1"/>
    <s v="REG100650"/>
    <s v="Cust 9489"/>
    <n v="6.47"/>
    <d v="2023-06-27T00:00:00"/>
    <d v="2023-06-30T00:00:00"/>
    <s v="Ryan"/>
    <x v="4"/>
    <x v="2"/>
  </r>
  <r>
    <d v="2023-01-01T00:00:00"/>
    <x v="0"/>
    <x v="5"/>
    <n v="15"/>
    <n v="298.70999999999998"/>
    <s v="Store C"/>
    <s v="Retail"/>
    <n v="0"/>
    <x v="5"/>
    <n v="4480.6499999999996"/>
    <s v="Debit Card"/>
    <s v="SAVE10"/>
    <n v="0"/>
    <s v="REG100651"/>
    <s v="Cust 2446"/>
    <n v="11.38"/>
    <d v="2023-01-01T00:00:00"/>
    <d v="2023-01-08T00:00:00"/>
    <s v="Eric"/>
    <x v="6"/>
    <x v="0"/>
  </r>
  <r>
    <d v="2023-12-30T00:00:00"/>
    <x v="4"/>
    <x v="5"/>
    <n v="15"/>
    <n v="52.37"/>
    <s v="Store A"/>
    <s v="Retail"/>
    <n v="0.15"/>
    <x v="4"/>
    <n v="667.71749999999997"/>
    <s v="Online"/>
    <s v="SAVE10"/>
    <n v="0"/>
    <s v="REG100652"/>
    <s v="Cust 4150"/>
    <n v="8.93"/>
    <d v="2023-12-30T00:00:00"/>
    <d v="2024-01-02T00:00:00"/>
    <s v="Wendy"/>
    <x v="27"/>
    <x v="12"/>
  </r>
  <r>
    <d v="2023-01-22T00:00:00"/>
    <x v="3"/>
    <x v="1"/>
    <n v="6"/>
    <n v="104.19"/>
    <s v="Store C"/>
    <s v="Retail"/>
    <n v="0.1"/>
    <x v="4"/>
    <n v="562.62599999999998"/>
    <s v="Online"/>
    <m/>
    <n v="0"/>
    <s v="REG100653"/>
    <s v="Cust 3569"/>
    <n v="8.6199999999999992"/>
    <d v="2023-01-22T00:00:00"/>
    <d v="2023-01-24T00:00:00"/>
    <s v="Cameron"/>
    <x v="6"/>
    <x v="0"/>
  </r>
  <r>
    <d v="2024-07-27T00:00:00"/>
    <x v="1"/>
    <x v="0"/>
    <n v="8"/>
    <n v="493.09"/>
    <s v="Store A"/>
    <s v="Retail"/>
    <n v="0.05"/>
    <x v="4"/>
    <n v="3747.483999999999"/>
    <s v="Credit Card"/>
    <s v="FREESHIP"/>
    <n v="0"/>
    <s v="REG100654"/>
    <s v="Cust 1023"/>
    <n v="11.49"/>
    <d v="2024-07-27T00:00:00"/>
    <d v="2024-08-05T00:00:00"/>
    <s v="Sophie"/>
    <x v="10"/>
    <x v="8"/>
  </r>
  <r>
    <d v="2024-01-15T00:00:00"/>
    <x v="1"/>
    <x v="3"/>
    <n v="6"/>
    <n v="291.58"/>
    <s v="Store B"/>
    <s v="Wholesale"/>
    <n v="0"/>
    <x v="2"/>
    <n v="1749.48"/>
    <s v="Credit Card"/>
    <s v="FREESHIP"/>
    <n v="0"/>
    <s v="REG100655"/>
    <s v="Cust 3748"/>
    <n v="30.25"/>
    <d v="2024-01-15T00:00:00"/>
    <d v="2024-01-17T00:00:00"/>
    <s v="Sophie"/>
    <x v="24"/>
    <x v="4"/>
  </r>
  <r>
    <d v="2024-01-04T00:00:00"/>
    <x v="4"/>
    <x v="5"/>
    <n v="1"/>
    <n v="103.13"/>
    <s v="Store B"/>
    <s v="Wholesale"/>
    <n v="0"/>
    <x v="5"/>
    <n v="103.13"/>
    <s v="Online"/>
    <s v="FREESHIP"/>
    <n v="0"/>
    <s v="REG100656"/>
    <s v="Cust 4798"/>
    <n v="42.38"/>
    <d v="2024-01-04T00:00:00"/>
    <d v="2024-01-14T00:00:00"/>
    <s v="Wendy"/>
    <x v="24"/>
    <x v="4"/>
  </r>
  <r>
    <d v="2023-02-09T00:00:00"/>
    <x v="0"/>
    <x v="4"/>
    <n v="1"/>
    <n v="541.9"/>
    <s v="Store A"/>
    <s v="Retail"/>
    <n v="0.05"/>
    <x v="0"/>
    <n v="514.80499999999995"/>
    <s v="Cash"/>
    <s v="WINTER15"/>
    <n v="0"/>
    <s v="REG100657"/>
    <s v="Cust 8305"/>
    <n v="40.35"/>
    <d v="2023-02-09T00:00:00"/>
    <d v="2023-02-19T00:00:00"/>
    <s v="Eric"/>
    <x v="0"/>
    <x v="0"/>
  </r>
  <r>
    <d v="2024-06-20T00:00:00"/>
    <x v="2"/>
    <x v="1"/>
    <n v="11"/>
    <n v="303.08999999999997"/>
    <s v="Store D"/>
    <s v="Wholesale"/>
    <n v="0.1"/>
    <x v="4"/>
    <n v="3000.5909999999999"/>
    <s v="Online"/>
    <s v="SAVE10"/>
    <n v="0"/>
    <s v="REG100658"/>
    <s v="Cust 3864"/>
    <n v="21.88"/>
    <d v="2024-06-20T00:00:00"/>
    <d v="2024-06-24T00:00:00"/>
    <s v="Ryan"/>
    <x v="23"/>
    <x v="11"/>
  </r>
  <r>
    <d v="2023-02-21T00:00:00"/>
    <x v="3"/>
    <x v="2"/>
    <n v="11"/>
    <n v="61.81"/>
    <s v="Store C"/>
    <s v="Retail"/>
    <n v="0.05"/>
    <x v="5"/>
    <n v="645.91450000000009"/>
    <s v="Gift Card"/>
    <s v="WINTER15"/>
    <n v="0"/>
    <s v="REG100659"/>
    <s v="Cust 3459"/>
    <n v="47.95"/>
    <d v="2023-02-21T00:00:00"/>
    <d v="2023-03-03T00:00:00"/>
    <s v="Cameron"/>
    <x v="0"/>
    <x v="0"/>
  </r>
  <r>
    <d v="2023-08-16T00:00:00"/>
    <x v="3"/>
    <x v="2"/>
    <n v="8"/>
    <n v="355.15"/>
    <s v="Store B"/>
    <s v="Retail"/>
    <n v="0.1"/>
    <x v="3"/>
    <n v="2557.08"/>
    <s v="Online"/>
    <m/>
    <n v="1"/>
    <s v="REG100660"/>
    <s v="Cust 1187"/>
    <n v="38.590000000000003"/>
    <d v="2023-08-16T00:00:00"/>
    <d v="2023-08-24T00:00:00"/>
    <s v="Cameron"/>
    <x v="18"/>
    <x v="9"/>
  </r>
  <r>
    <d v="2023-11-03T00:00:00"/>
    <x v="4"/>
    <x v="4"/>
    <n v="11"/>
    <n v="119.84"/>
    <s v="Store D"/>
    <s v="Wholesale"/>
    <n v="0.1"/>
    <x v="0"/>
    <n v="1186.4159999999999"/>
    <s v="Online"/>
    <s v="SAVE10"/>
    <n v="0"/>
    <s v="REG100661"/>
    <s v="Cust 7509"/>
    <n v="16.64"/>
    <d v="2023-11-03T00:00:00"/>
    <d v="2023-11-11T00:00:00"/>
    <s v="Wendy"/>
    <x v="15"/>
    <x v="12"/>
  </r>
  <r>
    <d v="2024-04-26T00:00:00"/>
    <x v="1"/>
    <x v="0"/>
    <n v="16"/>
    <n v="318.32"/>
    <s v="Store C"/>
    <s v="Wholesale"/>
    <n v="0.05"/>
    <x v="4"/>
    <n v="4838.4639999999999"/>
    <s v="Credit Card"/>
    <s v="FREESHIP"/>
    <n v="0"/>
    <s v="REG100662"/>
    <s v="Cust 1869"/>
    <n v="40.78"/>
    <d v="2024-04-26T00:00:00"/>
    <d v="2024-05-01T00:00:00"/>
    <s v="Sophie"/>
    <x v="9"/>
    <x v="7"/>
  </r>
  <r>
    <d v="2024-10-08T00:00:00"/>
    <x v="1"/>
    <x v="2"/>
    <n v="9"/>
    <n v="446.49"/>
    <s v="Store D"/>
    <s v="Wholesale"/>
    <n v="0.15"/>
    <x v="3"/>
    <n v="3415.6484999999998"/>
    <s v="Cash"/>
    <s v="FREESHIP"/>
    <n v="0"/>
    <s v="REG100663"/>
    <s v="Cust 5943"/>
    <n v="5.77"/>
    <d v="2024-10-08T00:00:00"/>
    <d v="2024-10-17T00:00:00"/>
    <s v="Sophie"/>
    <x v="7"/>
    <x v="5"/>
  </r>
  <r>
    <d v="2023-01-09T00:00:00"/>
    <x v="1"/>
    <x v="2"/>
    <n v="16"/>
    <n v="258.82"/>
    <s v="Store D"/>
    <s v="Retail"/>
    <n v="0.1"/>
    <x v="4"/>
    <n v="3727.0079999999998"/>
    <s v="Online"/>
    <s v="SAVE10"/>
    <n v="0"/>
    <s v="REG100664"/>
    <s v="Cust 8364"/>
    <n v="46.93"/>
    <d v="2023-01-09T00:00:00"/>
    <d v="2023-01-17T00:00:00"/>
    <s v="Sophie"/>
    <x v="6"/>
    <x v="0"/>
  </r>
  <r>
    <d v="2023-12-25T00:00:00"/>
    <x v="2"/>
    <x v="6"/>
    <n v="9"/>
    <n v="272.68"/>
    <s v="Store D"/>
    <s v="Wholesale"/>
    <n v="0.05"/>
    <x v="0"/>
    <n v="2331.4140000000002"/>
    <s v="Online"/>
    <s v="SAVE10"/>
    <n v="0"/>
    <s v="REG100665"/>
    <s v="Cust 8401"/>
    <n v="16.43"/>
    <d v="2023-12-25T00:00:00"/>
    <d v="2024-01-02T00:00:00"/>
    <s v="Ryan"/>
    <x v="27"/>
    <x v="12"/>
  </r>
  <r>
    <d v="2024-05-11T00:00:00"/>
    <x v="3"/>
    <x v="4"/>
    <n v="12"/>
    <n v="438.77"/>
    <s v="Store C"/>
    <s v="Retail"/>
    <n v="0"/>
    <x v="0"/>
    <n v="5265.24"/>
    <s v="Debit Card"/>
    <s v="SAVE10"/>
    <n v="0"/>
    <s v="REG100666"/>
    <s v="Cust 4047"/>
    <n v="9.31"/>
    <d v="2024-05-11T00:00:00"/>
    <d v="2024-05-20T00:00:00"/>
    <s v="Cameron"/>
    <x v="14"/>
    <x v="11"/>
  </r>
  <r>
    <d v="2023-11-23T00:00:00"/>
    <x v="4"/>
    <x v="5"/>
    <n v="18"/>
    <n v="267.63"/>
    <s v="Store B"/>
    <s v="Retail"/>
    <n v="0"/>
    <x v="3"/>
    <n v="4817.34"/>
    <s v="Gift Card"/>
    <s v="SAVE10"/>
    <n v="0"/>
    <s v="REG100667"/>
    <s v="Cust 6019"/>
    <n v="44.48"/>
    <d v="2023-11-23T00:00:00"/>
    <d v="2023-11-26T00:00:00"/>
    <s v="Wendy"/>
    <x v="15"/>
    <x v="12"/>
  </r>
  <r>
    <d v="2023-12-10T00:00:00"/>
    <x v="3"/>
    <x v="6"/>
    <n v="6"/>
    <n v="115.94"/>
    <s v="Store A"/>
    <s v="Wholesale"/>
    <n v="0.05"/>
    <x v="3"/>
    <n v="660.85799999999995"/>
    <s v="Credit Card"/>
    <s v="SAVE10"/>
    <n v="0"/>
    <s v="REG100668"/>
    <s v="Cust 8750"/>
    <n v="23.91"/>
    <d v="2023-12-10T00:00:00"/>
    <d v="2023-12-12T00:00:00"/>
    <s v="Cameron"/>
    <x v="27"/>
    <x v="12"/>
  </r>
  <r>
    <d v="2024-02-03T00:00:00"/>
    <x v="2"/>
    <x v="6"/>
    <n v="19"/>
    <n v="275.77999999999997"/>
    <s v="Store C"/>
    <s v="Retail"/>
    <n v="0"/>
    <x v="2"/>
    <n v="5239.82"/>
    <s v="Cash"/>
    <s v="SAVE10"/>
    <n v="0"/>
    <s v="REG100669"/>
    <s v="Cust 5782"/>
    <n v="47"/>
    <d v="2024-02-03T00:00:00"/>
    <d v="2024-02-05T00:00:00"/>
    <s v="Ryan"/>
    <x v="5"/>
    <x v="4"/>
  </r>
  <r>
    <d v="2024-11-24T00:00:00"/>
    <x v="3"/>
    <x v="3"/>
    <n v="12"/>
    <n v="255.93"/>
    <s v="Store B"/>
    <s v="Retail"/>
    <n v="0"/>
    <x v="0"/>
    <n v="3071.16"/>
    <s v="Cash"/>
    <s v="WINTER15"/>
    <n v="0"/>
    <s v="REG100670"/>
    <s v="Cust 4090"/>
    <n v="23.74"/>
    <d v="2024-11-24T00:00:00"/>
    <d v="2024-12-04T00:00:00"/>
    <s v="Cameron"/>
    <x v="20"/>
    <x v="1"/>
  </r>
  <r>
    <d v="2024-03-06T00:00:00"/>
    <x v="4"/>
    <x v="1"/>
    <n v="1"/>
    <n v="381.21"/>
    <s v="Store D"/>
    <s v="Wholesale"/>
    <n v="0.15"/>
    <x v="5"/>
    <n v="324.02850000000001"/>
    <s v="Online"/>
    <m/>
    <n v="0"/>
    <s v="REG100671"/>
    <s v="Cust 4730"/>
    <n v="9.9499999999999993"/>
    <d v="2024-03-06T00:00:00"/>
    <d v="2024-03-11T00:00:00"/>
    <s v="Wendy"/>
    <x v="25"/>
    <x v="7"/>
  </r>
  <r>
    <d v="2025-02-01T00:00:00"/>
    <x v="1"/>
    <x v="2"/>
    <n v="5"/>
    <n v="38.229999999999997"/>
    <s v="Store C"/>
    <s v="Wholesale"/>
    <n v="0.15"/>
    <x v="5"/>
    <n v="162.47749999999999"/>
    <s v="Debit Card"/>
    <m/>
    <n v="0"/>
    <s v="REG100672"/>
    <s v="Cust 5648"/>
    <n v="21.06"/>
    <d v="2025-02-01T00:00:00"/>
    <d v="2025-02-11T00:00:00"/>
    <s v="Sophie"/>
    <x v="3"/>
    <x v="3"/>
  </r>
  <r>
    <d v="2024-06-04T00:00:00"/>
    <x v="3"/>
    <x v="0"/>
    <n v="7"/>
    <n v="225.86"/>
    <s v="Store B"/>
    <s v="Wholesale"/>
    <n v="0"/>
    <x v="3"/>
    <n v="1581.02"/>
    <s v="Debit Card"/>
    <m/>
    <n v="0"/>
    <s v="REG100673"/>
    <s v="Cust 8933"/>
    <n v="24.48"/>
    <d v="2024-06-04T00:00:00"/>
    <d v="2024-06-09T00:00:00"/>
    <s v="Cameron"/>
    <x v="23"/>
    <x v="11"/>
  </r>
  <r>
    <d v="2023-08-06T00:00:00"/>
    <x v="3"/>
    <x v="2"/>
    <n v="8"/>
    <n v="548.02"/>
    <s v="Store D"/>
    <s v="Retail"/>
    <n v="0.05"/>
    <x v="0"/>
    <n v="4164.9519999999993"/>
    <s v="Online"/>
    <m/>
    <n v="0"/>
    <s v="REG100674"/>
    <s v="Cust 9280"/>
    <n v="33.4"/>
    <d v="2023-08-06T00:00:00"/>
    <d v="2023-08-13T00:00:00"/>
    <s v="Cameron"/>
    <x v="18"/>
    <x v="9"/>
  </r>
  <r>
    <d v="2023-06-30T00:00:00"/>
    <x v="4"/>
    <x v="6"/>
    <n v="18"/>
    <n v="485.3"/>
    <s v="Store D"/>
    <s v="Wholesale"/>
    <n v="0.05"/>
    <x v="5"/>
    <n v="8298.6299999999992"/>
    <s v="Debit Card"/>
    <s v="FREESHIP"/>
    <n v="1"/>
    <s v="REG100675"/>
    <s v="Cust 8696"/>
    <n v="47.77"/>
    <d v="2023-06-30T00:00:00"/>
    <d v="2023-07-05T00:00:00"/>
    <s v="Wendy"/>
    <x v="4"/>
    <x v="2"/>
  </r>
  <r>
    <d v="2023-02-15T00:00:00"/>
    <x v="4"/>
    <x v="6"/>
    <n v="19"/>
    <n v="414.31"/>
    <s v="Store A"/>
    <s v="Retail"/>
    <n v="0.1"/>
    <x v="0"/>
    <n v="7084.701"/>
    <s v="Credit Card"/>
    <s v="SAVE10"/>
    <n v="0"/>
    <s v="REG100676"/>
    <s v="Cust 1944"/>
    <n v="17.43"/>
    <d v="2023-02-15T00:00:00"/>
    <d v="2023-02-19T00:00:00"/>
    <s v="Wendy"/>
    <x v="0"/>
    <x v="0"/>
  </r>
  <r>
    <d v="2024-01-23T00:00:00"/>
    <x v="2"/>
    <x v="6"/>
    <n v="8"/>
    <n v="50.72"/>
    <s v="Store A"/>
    <s v="Wholesale"/>
    <n v="0.05"/>
    <x v="3"/>
    <n v="385.47199999999998"/>
    <s v="Debit Card"/>
    <m/>
    <n v="0"/>
    <s v="REG100677"/>
    <s v="Cust 7780"/>
    <n v="12.35"/>
    <d v="2024-01-23T00:00:00"/>
    <d v="2024-01-30T00:00:00"/>
    <s v="Ryan"/>
    <x v="24"/>
    <x v="4"/>
  </r>
  <r>
    <d v="2024-10-31T00:00:00"/>
    <x v="2"/>
    <x v="5"/>
    <n v="17"/>
    <n v="83.26"/>
    <s v="Store A"/>
    <s v="Wholesale"/>
    <n v="0.15"/>
    <x v="0"/>
    <n v="1203.107"/>
    <s v="Cash"/>
    <s v="SAVE10"/>
    <n v="0"/>
    <s v="REG100678"/>
    <s v="Cust 8055"/>
    <n v="42.68"/>
    <d v="2024-10-31T00:00:00"/>
    <d v="2024-11-06T00:00:00"/>
    <s v="Ryan"/>
    <x v="7"/>
    <x v="1"/>
  </r>
  <r>
    <d v="2023-12-19T00:00:00"/>
    <x v="3"/>
    <x v="2"/>
    <n v="20"/>
    <n v="51.85"/>
    <s v="Store C"/>
    <s v="Wholesale"/>
    <n v="0.15"/>
    <x v="3"/>
    <n v="881.44999999999993"/>
    <s v="Cash"/>
    <m/>
    <n v="0"/>
    <s v="REG100679"/>
    <s v="Cust 4707"/>
    <n v="33.159999999999997"/>
    <d v="2023-12-19T00:00:00"/>
    <d v="2023-12-21T00:00:00"/>
    <s v="Cameron"/>
    <x v="27"/>
    <x v="12"/>
  </r>
  <r>
    <d v="2023-07-04T00:00:00"/>
    <x v="1"/>
    <x v="5"/>
    <n v="12"/>
    <n v="122.51"/>
    <s v="Store B"/>
    <s v="Wholesale"/>
    <n v="0.05"/>
    <x v="4"/>
    <n v="1396.614"/>
    <s v="Gift Card"/>
    <s v="WINTER15"/>
    <n v="0"/>
    <s v="REG100680"/>
    <s v="Cust 8088"/>
    <n v="43.47"/>
    <d v="2023-07-04T00:00:00"/>
    <d v="2023-07-06T00:00:00"/>
    <s v="Sophie"/>
    <x v="11"/>
    <x v="9"/>
  </r>
  <r>
    <d v="2024-05-16T00:00:00"/>
    <x v="0"/>
    <x v="0"/>
    <n v="11"/>
    <n v="222.13"/>
    <s v="Store D"/>
    <s v="Wholesale"/>
    <n v="0.15"/>
    <x v="0"/>
    <n v="2076.9155000000001"/>
    <s v="Cash"/>
    <s v="WINTER15"/>
    <n v="1"/>
    <s v="REG100681"/>
    <s v="Cust 7806"/>
    <n v="9.8800000000000008"/>
    <d v="2024-05-16T00:00:00"/>
    <d v="2024-05-18T00:00:00"/>
    <s v="Eric"/>
    <x v="14"/>
    <x v="11"/>
  </r>
  <r>
    <d v="2023-09-16T00:00:00"/>
    <x v="2"/>
    <x v="4"/>
    <n v="8"/>
    <n v="204.84"/>
    <s v="Store C"/>
    <s v="Retail"/>
    <n v="0"/>
    <x v="5"/>
    <n v="1638.72"/>
    <s v="Cash"/>
    <m/>
    <n v="0"/>
    <s v="REG100682"/>
    <s v="Cust 7033"/>
    <n v="43.4"/>
    <d v="2023-09-16T00:00:00"/>
    <d v="2023-09-21T00:00:00"/>
    <s v="Ryan"/>
    <x v="22"/>
    <x v="14"/>
  </r>
  <r>
    <d v="2024-11-22T00:00:00"/>
    <x v="0"/>
    <x v="3"/>
    <n v="3"/>
    <n v="536.97"/>
    <s v="Store C"/>
    <s v="Wholesale"/>
    <n v="0"/>
    <x v="3"/>
    <n v="1610.91"/>
    <s v="Debit Card"/>
    <m/>
    <n v="0"/>
    <s v="REG100683"/>
    <s v="Cust 8372"/>
    <n v="13.86"/>
    <d v="2024-11-22T00:00:00"/>
    <d v="2024-12-01T00:00:00"/>
    <s v="Eric"/>
    <x v="20"/>
    <x v="1"/>
  </r>
  <r>
    <d v="2024-04-13T00:00:00"/>
    <x v="4"/>
    <x v="3"/>
    <n v="15"/>
    <n v="553.01"/>
    <s v="Store A"/>
    <s v="Retail"/>
    <n v="0.1"/>
    <x v="3"/>
    <n v="7465.6350000000002"/>
    <s v="Credit Card"/>
    <s v="SAVE10"/>
    <n v="1"/>
    <s v="REG100684"/>
    <s v="Cust 1935"/>
    <n v="23.3"/>
    <d v="2024-04-13T00:00:00"/>
    <d v="2024-04-21T00:00:00"/>
    <s v="Wendy"/>
    <x v="9"/>
    <x v="7"/>
  </r>
  <r>
    <d v="2024-06-30T00:00:00"/>
    <x v="1"/>
    <x v="3"/>
    <n v="20"/>
    <n v="284.82"/>
    <s v="Store D"/>
    <s v="Retail"/>
    <n v="0.1"/>
    <x v="1"/>
    <n v="5126.76"/>
    <s v="Credit Card"/>
    <s v="WINTER15"/>
    <n v="1"/>
    <s v="REG100685"/>
    <s v="Cust 8417"/>
    <n v="27"/>
    <d v="2024-06-30T00:00:00"/>
    <d v="2024-07-06T00:00:00"/>
    <s v="Sophie"/>
    <x v="23"/>
    <x v="11"/>
  </r>
  <r>
    <d v="2024-08-29T00:00:00"/>
    <x v="2"/>
    <x v="2"/>
    <n v="18"/>
    <n v="523.87"/>
    <s v="Store C"/>
    <s v="Retail"/>
    <n v="0.15"/>
    <x v="4"/>
    <n v="8015.2109999999993"/>
    <s v="Gift Card"/>
    <s v="WINTER15"/>
    <n v="0"/>
    <s v="REG100686"/>
    <s v="Cust 3370"/>
    <n v="42.63"/>
    <d v="2024-08-29T00:00:00"/>
    <d v="2024-09-02T00:00:00"/>
    <s v="Ryan"/>
    <x v="29"/>
    <x v="8"/>
  </r>
  <r>
    <d v="2023-12-26T00:00:00"/>
    <x v="3"/>
    <x v="2"/>
    <n v="3"/>
    <n v="232.13"/>
    <s v="Store B"/>
    <s v="Retail"/>
    <n v="0.1"/>
    <x v="4"/>
    <n v="626.75099999999998"/>
    <s v="Cash"/>
    <m/>
    <n v="1"/>
    <s v="REG100687"/>
    <s v="Cust 3664"/>
    <n v="46.65"/>
    <d v="2023-12-26T00:00:00"/>
    <d v="2023-12-31T00:00:00"/>
    <s v="Cameron"/>
    <x v="27"/>
    <x v="12"/>
  </r>
  <r>
    <d v="2025-01-30T00:00:00"/>
    <x v="2"/>
    <x v="1"/>
    <n v="17"/>
    <n v="179.32"/>
    <s v="Store A"/>
    <s v="Retail"/>
    <n v="0.1"/>
    <x v="5"/>
    <n v="2743.596"/>
    <s v="Debit Card"/>
    <s v="SAVE10"/>
    <n v="1"/>
    <s v="REG100688"/>
    <s v="Cust 5760"/>
    <n v="26.74"/>
    <d v="2025-01-30T00:00:00"/>
    <d v="2025-02-06T00:00:00"/>
    <s v="Ryan"/>
    <x v="12"/>
    <x v="3"/>
  </r>
  <r>
    <d v="2023-05-17T00:00:00"/>
    <x v="1"/>
    <x v="3"/>
    <n v="1"/>
    <n v="396.35"/>
    <s v="Store B"/>
    <s v="Retail"/>
    <n v="0.15"/>
    <x v="2"/>
    <n v="336.89749999999998"/>
    <s v="Debit Card"/>
    <s v="SAVE10"/>
    <n v="1"/>
    <s v="REG100689"/>
    <s v="Cust 3037"/>
    <n v="19.89"/>
    <d v="2023-05-17T00:00:00"/>
    <d v="2023-05-25T00:00:00"/>
    <s v="Sophie"/>
    <x v="2"/>
    <x v="2"/>
  </r>
  <r>
    <d v="2024-01-27T00:00:00"/>
    <x v="3"/>
    <x v="2"/>
    <n v="17"/>
    <n v="108.48"/>
    <s v="Store A"/>
    <s v="Wholesale"/>
    <n v="0.1"/>
    <x v="3"/>
    <n v="1659.7439999999999"/>
    <s v="Online"/>
    <m/>
    <n v="1"/>
    <s v="REG100690"/>
    <s v="Cust 9828"/>
    <n v="48.9"/>
    <d v="2024-01-27T00:00:00"/>
    <d v="2024-02-05T00:00:00"/>
    <s v="Cameron"/>
    <x v="24"/>
    <x v="4"/>
  </r>
  <r>
    <d v="2025-05-26T00:00:00"/>
    <x v="0"/>
    <x v="6"/>
    <n v="10"/>
    <n v="149.66999999999999"/>
    <s v="Store D"/>
    <s v="Retail"/>
    <n v="0.1"/>
    <x v="3"/>
    <n v="1347.03"/>
    <s v="Cash"/>
    <s v="FREESHIP"/>
    <n v="1"/>
    <s v="REG100691"/>
    <s v="Cust 5297"/>
    <n v="49.67"/>
    <d v="2025-05-26T00:00:00"/>
    <d v="2025-06-02T00:00:00"/>
    <s v="Eric"/>
    <x v="13"/>
    <x v="10"/>
  </r>
  <r>
    <d v="2025-03-09T00:00:00"/>
    <x v="2"/>
    <x v="1"/>
    <n v="1"/>
    <n v="506.41"/>
    <s v="Store D"/>
    <s v="Wholesale"/>
    <n v="0"/>
    <x v="5"/>
    <n v="506.41"/>
    <s v="Cash"/>
    <m/>
    <n v="0"/>
    <s v="REG100692"/>
    <s v="Cust 6785"/>
    <n v="17.899999999999999"/>
    <d v="2025-03-09T00:00:00"/>
    <d v="2025-03-17T00:00:00"/>
    <s v="Ryan"/>
    <x v="8"/>
    <x v="6"/>
  </r>
  <r>
    <d v="2024-02-22T00:00:00"/>
    <x v="4"/>
    <x v="5"/>
    <n v="6"/>
    <n v="345.9"/>
    <s v="Store B"/>
    <s v="Retail"/>
    <n v="0.15"/>
    <x v="2"/>
    <n v="1764.09"/>
    <s v="Credit Card"/>
    <s v="WINTER15"/>
    <n v="0"/>
    <s v="REG100693"/>
    <s v="Cust 1344"/>
    <n v="30.58"/>
    <d v="2024-02-22T00:00:00"/>
    <d v="2024-03-03T00:00:00"/>
    <s v="Wendy"/>
    <x v="5"/>
    <x v="4"/>
  </r>
  <r>
    <d v="2025-02-03T00:00:00"/>
    <x v="0"/>
    <x v="5"/>
    <n v="15"/>
    <n v="342.04"/>
    <s v="Store C"/>
    <s v="Retail"/>
    <n v="0.15"/>
    <x v="4"/>
    <n v="4361.01"/>
    <s v="Gift Card"/>
    <s v="WINTER15"/>
    <n v="0"/>
    <s v="REG100694"/>
    <s v="Cust 4023"/>
    <n v="44.91"/>
    <d v="2025-02-03T00:00:00"/>
    <d v="2025-02-08T00:00:00"/>
    <s v="Eric"/>
    <x v="3"/>
    <x v="3"/>
  </r>
  <r>
    <d v="2024-01-09T00:00:00"/>
    <x v="3"/>
    <x v="6"/>
    <n v="11"/>
    <n v="404.88"/>
    <s v="Store A"/>
    <s v="Wholesale"/>
    <n v="0.05"/>
    <x v="1"/>
    <n v="4230.9960000000001"/>
    <s v="Gift Card"/>
    <s v="SAVE10"/>
    <n v="0"/>
    <s v="REG100695"/>
    <s v="Cust 3721"/>
    <n v="18.920000000000002"/>
    <d v="2024-01-09T00:00:00"/>
    <d v="2024-01-16T00:00:00"/>
    <s v="Cameron"/>
    <x v="24"/>
    <x v="4"/>
  </r>
  <r>
    <d v="2025-05-05T00:00:00"/>
    <x v="2"/>
    <x v="2"/>
    <n v="9"/>
    <n v="292.45999999999998"/>
    <s v="Store A"/>
    <s v="Wholesale"/>
    <n v="0.05"/>
    <x v="3"/>
    <n v="2500.5329999999999"/>
    <s v="Credit Card"/>
    <m/>
    <n v="0"/>
    <s v="REG100696"/>
    <s v="Cust 1486"/>
    <n v="34.26"/>
    <d v="2025-05-05T00:00:00"/>
    <d v="2025-05-14T00:00:00"/>
    <s v="Ryan"/>
    <x v="13"/>
    <x v="10"/>
  </r>
  <r>
    <d v="2023-04-17T00:00:00"/>
    <x v="3"/>
    <x v="2"/>
    <n v="5"/>
    <n v="547.53"/>
    <s v="Store A"/>
    <s v="Retail"/>
    <n v="0.1"/>
    <x v="0"/>
    <n v="2463.8850000000002"/>
    <s v="Debit Card"/>
    <m/>
    <n v="0"/>
    <s v="REG100697"/>
    <s v="Cust 3958"/>
    <n v="24.68"/>
    <d v="2023-04-17T00:00:00"/>
    <d v="2023-04-21T00:00:00"/>
    <s v="Cameron"/>
    <x v="21"/>
    <x v="13"/>
  </r>
  <r>
    <d v="2024-06-16T00:00:00"/>
    <x v="1"/>
    <x v="2"/>
    <n v="12"/>
    <n v="348.88"/>
    <s v="Store C"/>
    <s v="Wholesale"/>
    <n v="0"/>
    <x v="1"/>
    <n v="4186.5599999999986"/>
    <s v="Credit Card"/>
    <s v="SAVE10"/>
    <n v="0"/>
    <s v="REG100698"/>
    <s v="Cust 6914"/>
    <n v="31.28"/>
    <d v="2024-06-16T00:00:00"/>
    <d v="2024-06-21T00:00:00"/>
    <s v="Sophie"/>
    <x v="23"/>
    <x v="11"/>
  </r>
  <r>
    <d v="2024-11-01T00:00:00"/>
    <x v="1"/>
    <x v="1"/>
    <n v="15"/>
    <n v="486.03"/>
    <s v="Store C"/>
    <s v="Wholesale"/>
    <n v="0"/>
    <x v="1"/>
    <n v="7290.45"/>
    <s v="Debit Card"/>
    <s v="WINTER15"/>
    <n v="0"/>
    <s v="REG100699"/>
    <s v="Cust 3287"/>
    <n v="14.9"/>
    <d v="2024-11-01T00:00:00"/>
    <d v="2024-11-04T00:00:00"/>
    <s v="Sophie"/>
    <x v="20"/>
    <x v="1"/>
  </r>
  <r>
    <d v="2025-02-07T00:00:00"/>
    <x v="0"/>
    <x v="5"/>
    <n v="14"/>
    <n v="159.09"/>
    <s v="Store C"/>
    <s v="Retail"/>
    <n v="0.15"/>
    <x v="5"/>
    <n v="1893.171"/>
    <s v="Debit Card"/>
    <s v="FREESHIP"/>
    <n v="0"/>
    <s v="REG100700"/>
    <s v="Cust 9072"/>
    <n v="27.05"/>
    <d v="2025-02-07T00:00:00"/>
    <d v="2025-02-10T00:00:00"/>
    <s v="Eric"/>
    <x v="3"/>
    <x v="3"/>
  </r>
  <r>
    <d v="2024-11-24T00:00:00"/>
    <x v="1"/>
    <x v="4"/>
    <n v="12"/>
    <n v="173.79"/>
    <s v="Store D"/>
    <s v="Retail"/>
    <n v="0.15"/>
    <x v="0"/>
    <n v="1772.6579999999999"/>
    <s v="Credit Card"/>
    <m/>
    <n v="0"/>
    <s v="REG100701"/>
    <s v="Cust 3098"/>
    <n v="21.23"/>
    <d v="2024-11-24T00:00:00"/>
    <d v="2024-12-04T00:00:00"/>
    <s v="Sophie"/>
    <x v="20"/>
    <x v="1"/>
  </r>
  <r>
    <d v="2024-04-23T00:00:00"/>
    <x v="3"/>
    <x v="4"/>
    <n v="13"/>
    <n v="439.75"/>
    <s v="Store A"/>
    <s v="Wholesale"/>
    <n v="0"/>
    <x v="2"/>
    <n v="5716.75"/>
    <s v="Online"/>
    <m/>
    <n v="1"/>
    <s v="REG100702"/>
    <s v="Cust 7942"/>
    <n v="12.23"/>
    <d v="2024-04-23T00:00:00"/>
    <d v="2024-05-02T00:00:00"/>
    <s v="Cameron"/>
    <x v="9"/>
    <x v="7"/>
  </r>
  <r>
    <d v="2024-06-24T00:00:00"/>
    <x v="0"/>
    <x v="0"/>
    <n v="9"/>
    <n v="265.43"/>
    <s v="Store D"/>
    <s v="Wholesale"/>
    <n v="0.05"/>
    <x v="0"/>
    <n v="2269.4265"/>
    <s v="Credit Card"/>
    <s v="FREESHIP"/>
    <n v="0"/>
    <s v="REG100703"/>
    <s v="Cust 4307"/>
    <n v="40.18"/>
    <d v="2024-06-24T00:00:00"/>
    <d v="2024-06-27T00:00:00"/>
    <s v="Eric"/>
    <x v="23"/>
    <x v="11"/>
  </r>
  <r>
    <d v="2025-06-01T00:00:00"/>
    <x v="4"/>
    <x v="4"/>
    <n v="12"/>
    <n v="290.27999999999997"/>
    <s v="Store B"/>
    <s v="Retail"/>
    <n v="0.1"/>
    <x v="3"/>
    <n v="3135.0239999999999"/>
    <s v="Cash"/>
    <s v="FREESHIP"/>
    <n v="1"/>
    <s v="REG100704"/>
    <s v="Cust 4618"/>
    <n v="5.55"/>
    <d v="2025-06-01T00:00:00"/>
    <d v="2025-06-07T00:00:00"/>
    <s v="Wendy"/>
    <x v="16"/>
    <x v="10"/>
  </r>
  <r>
    <d v="2023-03-12T00:00:00"/>
    <x v="4"/>
    <x v="5"/>
    <n v="6"/>
    <n v="88.7"/>
    <s v="Store B"/>
    <s v="Wholesale"/>
    <n v="0"/>
    <x v="3"/>
    <n v="532.20000000000005"/>
    <s v="Gift Card"/>
    <m/>
    <n v="0"/>
    <s v="REG100705"/>
    <s v="Cust 5322"/>
    <n v="16.98"/>
    <d v="2023-03-12T00:00:00"/>
    <d v="2023-03-14T00:00:00"/>
    <s v="Wendy"/>
    <x v="17"/>
    <x v="13"/>
  </r>
  <r>
    <d v="2024-11-11T00:00:00"/>
    <x v="3"/>
    <x v="2"/>
    <n v="2"/>
    <n v="239.69"/>
    <s v="Store C"/>
    <s v="Retail"/>
    <n v="0"/>
    <x v="4"/>
    <n v="479.38"/>
    <s v="Credit Card"/>
    <s v="WINTER15"/>
    <n v="0"/>
    <s v="REG100706"/>
    <s v="Cust 9873"/>
    <n v="28.96"/>
    <d v="2024-11-11T00:00:00"/>
    <d v="2024-11-19T00:00:00"/>
    <s v="Cameron"/>
    <x v="20"/>
    <x v="1"/>
  </r>
  <r>
    <d v="2024-10-17T00:00:00"/>
    <x v="3"/>
    <x v="5"/>
    <n v="8"/>
    <n v="39.79"/>
    <s v="Store C"/>
    <s v="Retail"/>
    <n v="0.1"/>
    <x v="5"/>
    <n v="286.488"/>
    <s v="Credit Card"/>
    <s v="SAVE10"/>
    <n v="0"/>
    <s v="REG100707"/>
    <s v="Cust 3652"/>
    <n v="46.16"/>
    <d v="2024-10-17T00:00:00"/>
    <d v="2024-10-26T00:00:00"/>
    <s v="Cameron"/>
    <x v="7"/>
    <x v="5"/>
  </r>
  <r>
    <d v="2023-05-10T00:00:00"/>
    <x v="0"/>
    <x v="6"/>
    <n v="18"/>
    <n v="206.8"/>
    <s v="Store A"/>
    <s v="Retail"/>
    <n v="0.05"/>
    <x v="2"/>
    <n v="3536.28"/>
    <s v="Debit Card"/>
    <s v="FREESHIP"/>
    <n v="1"/>
    <s v="REG100708"/>
    <s v="Cust 5569"/>
    <n v="39.25"/>
    <d v="2023-05-10T00:00:00"/>
    <d v="2023-05-13T00:00:00"/>
    <s v="Eric"/>
    <x v="2"/>
    <x v="2"/>
  </r>
  <r>
    <d v="2023-07-29T00:00:00"/>
    <x v="0"/>
    <x v="0"/>
    <n v="18"/>
    <n v="175.81"/>
    <s v="Store C"/>
    <s v="Retail"/>
    <n v="0"/>
    <x v="0"/>
    <n v="3164.58"/>
    <s v="Gift Card"/>
    <s v="WINTER15"/>
    <n v="1"/>
    <s v="REG100709"/>
    <s v="Cust 5369"/>
    <n v="26.97"/>
    <d v="2023-07-29T00:00:00"/>
    <d v="2023-08-07T00:00:00"/>
    <s v="Eric"/>
    <x v="11"/>
    <x v="9"/>
  </r>
  <r>
    <d v="2023-08-26T00:00:00"/>
    <x v="3"/>
    <x v="1"/>
    <n v="14"/>
    <n v="547.36"/>
    <s v="Store C"/>
    <s v="Retail"/>
    <n v="0.15"/>
    <x v="4"/>
    <n v="6513.5839999999998"/>
    <s v="Online"/>
    <s v="FREESHIP"/>
    <n v="0"/>
    <s v="REG100710"/>
    <s v="Cust 9044"/>
    <n v="25.24"/>
    <d v="2023-08-26T00:00:00"/>
    <d v="2023-08-29T00:00:00"/>
    <s v="Cameron"/>
    <x v="18"/>
    <x v="9"/>
  </r>
  <r>
    <d v="2023-12-28T00:00:00"/>
    <x v="0"/>
    <x v="0"/>
    <n v="19"/>
    <n v="374.8"/>
    <s v="Store A"/>
    <s v="Retail"/>
    <n v="0.05"/>
    <x v="3"/>
    <n v="6765.1399999999994"/>
    <s v="Online"/>
    <s v="WINTER15"/>
    <n v="0"/>
    <s v="REG100711"/>
    <s v="Cust 1887"/>
    <n v="41.67"/>
    <d v="2023-12-28T00:00:00"/>
    <d v="2024-01-03T00:00:00"/>
    <s v="Eric"/>
    <x v="27"/>
    <x v="12"/>
  </r>
  <r>
    <d v="2025-03-10T00:00:00"/>
    <x v="2"/>
    <x v="5"/>
    <n v="9"/>
    <n v="507.74"/>
    <s v="Store D"/>
    <s v="Retail"/>
    <n v="0.15"/>
    <x v="5"/>
    <n v="3884.2109999999998"/>
    <s v="Cash"/>
    <s v="FREESHIP"/>
    <n v="1"/>
    <s v="REG100712"/>
    <s v="Cust 1559"/>
    <n v="22.08"/>
    <d v="2025-03-10T00:00:00"/>
    <d v="2025-03-17T00:00:00"/>
    <s v="Ryan"/>
    <x v="8"/>
    <x v="6"/>
  </r>
  <r>
    <d v="2023-09-09T00:00:00"/>
    <x v="3"/>
    <x v="2"/>
    <n v="1"/>
    <n v="223.56"/>
    <s v="Store B"/>
    <s v="Wholesale"/>
    <n v="0.15"/>
    <x v="5"/>
    <n v="190.02600000000001"/>
    <s v="Credit Card"/>
    <s v="WINTER15"/>
    <n v="0"/>
    <s v="REG100713"/>
    <s v="Cust 1722"/>
    <n v="37.840000000000003"/>
    <d v="2023-09-09T00:00:00"/>
    <d v="2023-09-14T00:00:00"/>
    <s v="Cameron"/>
    <x v="22"/>
    <x v="14"/>
  </r>
  <r>
    <d v="2023-05-28T00:00:00"/>
    <x v="2"/>
    <x v="5"/>
    <n v="2"/>
    <n v="294.27"/>
    <s v="Store C"/>
    <s v="Retail"/>
    <n v="0.1"/>
    <x v="4"/>
    <n v="529.68600000000004"/>
    <s v="Gift Card"/>
    <m/>
    <n v="0"/>
    <s v="REG100714"/>
    <s v="Cust 9029"/>
    <n v="9.0500000000000007"/>
    <d v="2023-05-28T00:00:00"/>
    <d v="2023-06-01T00:00:00"/>
    <s v="Ryan"/>
    <x v="2"/>
    <x v="2"/>
  </r>
  <r>
    <d v="2025-05-21T00:00:00"/>
    <x v="4"/>
    <x v="4"/>
    <n v="1"/>
    <n v="319.49"/>
    <s v="Store C"/>
    <s v="Wholesale"/>
    <n v="0.15"/>
    <x v="4"/>
    <n v="271.56650000000002"/>
    <s v="Online"/>
    <s v="FREESHIP"/>
    <n v="1"/>
    <s v="REG100715"/>
    <s v="Cust 9555"/>
    <n v="18.100000000000001"/>
    <d v="2025-05-21T00:00:00"/>
    <d v="2025-05-31T00:00:00"/>
    <s v="Wendy"/>
    <x v="13"/>
    <x v="10"/>
  </r>
  <r>
    <d v="2023-09-30T00:00:00"/>
    <x v="0"/>
    <x v="0"/>
    <n v="14"/>
    <n v="243.96"/>
    <s v="Store D"/>
    <s v="Wholesale"/>
    <n v="0.05"/>
    <x v="4"/>
    <n v="3244.6680000000001"/>
    <s v="Online"/>
    <m/>
    <n v="1"/>
    <s v="REG100716"/>
    <s v="Cust 2484"/>
    <n v="13.24"/>
    <d v="2023-09-30T00:00:00"/>
    <d v="2023-10-04T00:00:00"/>
    <s v="Eric"/>
    <x v="22"/>
    <x v="14"/>
  </r>
  <r>
    <d v="2024-10-08T00:00:00"/>
    <x v="1"/>
    <x v="0"/>
    <n v="6"/>
    <n v="48.48"/>
    <s v="Store D"/>
    <s v="Retail"/>
    <n v="0.1"/>
    <x v="4"/>
    <n v="261.79199999999997"/>
    <s v="Online"/>
    <m/>
    <n v="0"/>
    <s v="REG100717"/>
    <s v="Cust 4763"/>
    <n v="6.11"/>
    <d v="2024-10-08T00:00:00"/>
    <d v="2024-10-13T00:00:00"/>
    <s v="Sophie"/>
    <x v="7"/>
    <x v="5"/>
  </r>
  <r>
    <d v="2023-04-14T00:00:00"/>
    <x v="0"/>
    <x v="0"/>
    <n v="20"/>
    <n v="87.47"/>
    <s v="Store B"/>
    <s v="Retail"/>
    <n v="0"/>
    <x v="3"/>
    <n v="1749.4"/>
    <s v="Online"/>
    <s v="WINTER15"/>
    <n v="0"/>
    <s v="REG100718"/>
    <s v="Cust 5016"/>
    <n v="48.48"/>
    <d v="2023-04-14T00:00:00"/>
    <d v="2023-04-23T00:00:00"/>
    <s v="Eric"/>
    <x v="21"/>
    <x v="13"/>
  </r>
  <r>
    <d v="2023-03-05T00:00:00"/>
    <x v="1"/>
    <x v="4"/>
    <n v="17"/>
    <n v="465.6"/>
    <s v="Store C"/>
    <s v="Retail"/>
    <n v="0.1"/>
    <x v="5"/>
    <n v="7123.6800000000012"/>
    <s v="Debit Card"/>
    <s v="SAVE10"/>
    <n v="0"/>
    <s v="REG100719"/>
    <s v="Cust 5528"/>
    <n v="7.76"/>
    <d v="2023-03-05T00:00:00"/>
    <d v="2023-03-10T00:00:00"/>
    <s v="Sophie"/>
    <x v="17"/>
    <x v="13"/>
  </r>
  <r>
    <d v="2024-07-17T00:00:00"/>
    <x v="2"/>
    <x v="2"/>
    <n v="17"/>
    <n v="279.38"/>
    <s v="Store B"/>
    <s v="Wholesale"/>
    <n v="0.05"/>
    <x v="2"/>
    <n v="4511.9870000000001"/>
    <s v="Credit Card"/>
    <s v="WINTER15"/>
    <n v="0"/>
    <s v="REG100720"/>
    <s v="Cust 6922"/>
    <n v="30.3"/>
    <d v="2024-07-17T00:00:00"/>
    <d v="2024-07-20T00:00:00"/>
    <s v="Ryan"/>
    <x v="10"/>
    <x v="8"/>
  </r>
  <r>
    <d v="2024-05-20T00:00:00"/>
    <x v="2"/>
    <x v="5"/>
    <n v="16"/>
    <n v="427.68"/>
    <s v="Store A"/>
    <s v="Retail"/>
    <n v="0.1"/>
    <x v="3"/>
    <n v="6158.5920000000006"/>
    <s v="Debit Card"/>
    <m/>
    <n v="0"/>
    <s v="REG100721"/>
    <s v="Cust 4807"/>
    <n v="18.72"/>
    <d v="2024-05-20T00:00:00"/>
    <d v="2024-05-29T00:00:00"/>
    <s v="Ryan"/>
    <x v="14"/>
    <x v="11"/>
  </r>
  <r>
    <d v="2025-05-06T00:00:00"/>
    <x v="2"/>
    <x v="0"/>
    <n v="15"/>
    <n v="281.73"/>
    <s v="Store B"/>
    <s v="Wholesale"/>
    <n v="0.1"/>
    <x v="5"/>
    <n v="3803.3550000000009"/>
    <s v="Credit Card"/>
    <s v="WINTER15"/>
    <n v="0"/>
    <s v="REG100722"/>
    <s v="Cust 3368"/>
    <n v="36.869999999999997"/>
    <d v="2025-05-06T00:00:00"/>
    <d v="2025-05-10T00:00:00"/>
    <s v="Ryan"/>
    <x v="13"/>
    <x v="10"/>
  </r>
  <r>
    <d v="2023-01-15T00:00:00"/>
    <x v="2"/>
    <x v="2"/>
    <n v="15"/>
    <n v="185"/>
    <s v="Store B"/>
    <s v="Wholesale"/>
    <n v="0"/>
    <x v="1"/>
    <n v="2775"/>
    <s v="Cash"/>
    <s v="FREESHIP"/>
    <n v="0"/>
    <s v="REG100723"/>
    <s v="Cust 2871"/>
    <n v="29.31"/>
    <d v="2023-01-15T00:00:00"/>
    <d v="2023-01-17T00:00:00"/>
    <s v="Ryan"/>
    <x v="6"/>
    <x v="0"/>
  </r>
  <r>
    <d v="2024-01-09T00:00:00"/>
    <x v="3"/>
    <x v="4"/>
    <n v="19"/>
    <n v="380.82"/>
    <s v="Store D"/>
    <s v="Wholesale"/>
    <n v="0.1"/>
    <x v="4"/>
    <n v="6512.0219999999999"/>
    <s v="Credit Card"/>
    <s v="SAVE10"/>
    <n v="0"/>
    <s v="REG100724"/>
    <s v="Cust 6229"/>
    <n v="48.73"/>
    <d v="2024-01-09T00:00:00"/>
    <d v="2024-01-12T00:00:00"/>
    <s v="Cameron"/>
    <x v="24"/>
    <x v="4"/>
  </r>
  <r>
    <d v="2023-07-12T00:00:00"/>
    <x v="1"/>
    <x v="3"/>
    <n v="4"/>
    <n v="444.87"/>
    <s v="Store B"/>
    <s v="Retail"/>
    <n v="0.15"/>
    <x v="3"/>
    <n v="1512.558"/>
    <s v="Online"/>
    <s v="FREESHIP"/>
    <n v="0"/>
    <s v="REG100725"/>
    <s v="Cust 4560"/>
    <n v="47.14"/>
    <d v="2023-07-12T00:00:00"/>
    <d v="2023-07-21T00:00:00"/>
    <s v="Sophie"/>
    <x v="11"/>
    <x v="9"/>
  </r>
  <r>
    <d v="2025-06-21T00:00:00"/>
    <x v="0"/>
    <x v="3"/>
    <n v="7"/>
    <n v="590.79"/>
    <s v="Store B"/>
    <s v="Retail"/>
    <n v="0.05"/>
    <x v="0"/>
    <n v="3928.7534999999989"/>
    <s v="Cash"/>
    <s v="FREESHIP"/>
    <n v="1"/>
    <s v="REG100726"/>
    <s v="Cust 7099"/>
    <n v="41.39"/>
    <d v="2025-06-21T00:00:00"/>
    <d v="2025-06-26T00:00:00"/>
    <s v="Eric"/>
    <x v="16"/>
    <x v="10"/>
  </r>
  <r>
    <d v="2024-12-29T00:00:00"/>
    <x v="2"/>
    <x v="6"/>
    <n v="5"/>
    <n v="34.58"/>
    <s v="Store A"/>
    <s v="Retail"/>
    <n v="0.1"/>
    <x v="2"/>
    <n v="155.61000000000001"/>
    <s v="Gift Card"/>
    <s v="WINTER15"/>
    <n v="0"/>
    <s v="REG100727"/>
    <s v="Cust 6333"/>
    <n v="27.1"/>
    <d v="2024-12-29T00:00:00"/>
    <d v="2025-01-02T00:00:00"/>
    <s v="Ryan"/>
    <x v="1"/>
    <x v="1"/>
  </r>
  <r>
    <d v="2023-05-23T00:00:00"/>
    <x v="4"/>
    <x v="5"/>
    <n v="9"/>
    <n v="438.22"/>
    <s v="Store D"/>
    <s v="Retail"/>
    <n v="0.05"/>
    <x v="5"/>
    <n v="3746.7809999999999"/>
    <s v="Cash"/>
    <m/>
    <n v="0"/>
    <s v="REG100728"/>
    <s v="Cust 4678"/>
    <n v="22.73"/>
    <d v="2023-05-23T00:00:00"/>
    <d v="2023-05-29T00:00:00"/>
    <s v="Wendy"/>
    <x v="2"/>
    <x v="2"/>
  </r>
  <r>
    <d v="2024-04-03T00:00:00"/>
    <x v="3"/>
    <x v="2"/>
    <n v="5"/>
    <n v="84.91"/>
    <s v="Store A"/>
    <s v="Retail"/>
    <n v="0.1"/>
    <x v="3"/>
    <n v="382.09500000000003"/>
    <s v="Cash"/>
    <s v="FREESHIP"/>
    <n v="1"/>
    <s v="REG100729"/>
    <s v="Cust 6657"/>
    <n v="29.06"/>
    <d v="2024-04-03T00:00:00"/>
    <d v="2024-04-09T00:00:00"/>
    <s v="Cameron"/>
    <x v="9"/>
    <x v="7"/>
  </r>
  <r>
    <d v="2024-01-17T00:00:00"/>
    <x v="0"/>
    <x v="0"/>
    <n v="7"/>
    <n v="322.11"/>
    <s v="Store C"/>
    <s v="Wholesale"/>
    <n v="0.1"/>
    <x v="4"/>
    <n v="2029.2929999999999"/>
    <s v="Debit Card"/>
    <s v="SAVE10"/>
    <n v="0"/>
    <s v="REG100730"/>
    <s v="Cust 1267"/>
    <n v="19.91"/>
    <d v="2024-01-17T00:00:00"/>
    <d v="2024-01-27T00:00:00"/>
    <s v="Eric"/>
    <x v="24"/>
    <x v="4"/>
  </r>
  <r>
    <d v="2025-04-05T00:00:00"/>
    <x v="3"/>
    <x v="4"/>
    <n v="2"/>
    <n v="231.96"/>
    <s v="Store B"/>
    <s v="Retail"/>
    <n v="0.1"/>
    <x v="1"/>
    <n v="417.52800000000002"/>
    <s v="Debit Card"/>
    <m/>
    <n v="1"/>
    <s v="REG100731"/>
    <s v="Cust 8150"/>
    <n v="32.659999999999997"/>
    <d v="2025-04-05T00:00:00"/>
    <d v="2025-04-14T00:00:00"/>
    <s v="Cameron"/>
    <x v="28"/>
    <x v="6"/>
  </r>
  <r>
    <d v="2025-04-17T00:00:00"/>
    <x v="3"/>
    <x v="3"/>
    <n v="15"/>
    <n v="242.07"/>
    <s v="Store A"/>
    <s v="Wholesale"/>
    <n v="0.15"/>
    <x v="5"/>
    <n v="3086.392499999999"/>
    <s v="Credit Card"/>
    <m/>
    <n v="0"/>
    <s v="REG100732"/>
    <s v="Cust 3668"/>
    <n v="19.18"/>
    <d v="2025-04-17T00:00:00"/>
    <d v="2025-04-23T00:00:00"/>
    <s v="Cameron"/>
    <x v="28"/>
    <x v="6"/>
  </r>
  <r>
    <d v="2024-10-12T00:00:00"/>
    <x v="3"/>
    <x v="0"/>
    <n v="2"/>
    <n v="48.02"/>
    <s v="Store C"/>
    <s v="Retail"/>
    <n v="0.05"/>
    <x v="3"/>
    <n v="91.238"/>
    <s v="Debit Card"/>
    <s v="FREESHIP"/>
    <n v="1"/>
    <s v="REG100733"/>
    <s v="Cust 4803"/>
    <n v="25.81"/>
    <d v="2024-10-12T00:00:00"/>
    <d v="2024-10-15T00:00:00"/>
    <s v="Cameron"/>
    <x v="7"/>
    <x v="5"/>
  </r>
  <r>
    <d v="2024-07-27T00:00:00"/>
    <x v="3"/>
    <x v="3"/>
    <n v="1"/>
    <n v="534.28"/>
    <s v="Store D"/>
    <s v="Wholesale"/>
    <n v="0.1"/>
    <x v="0"/>
    <n v="480.85199999999998"/>
    <s v="Online"/>
    <s v="FREESHIP"/>
    <n v="0"/>
    <s v="REG100734"/>
    <s v="Cust 8633"/>
    <n v="31.3"/>
    <d v="2024-07-27T00:00:00"/>
    <d v="2024-08-01T00:00:00"/>
    <s v="Cameron"/>
    <x v="10"/>
    <x v="8"/>
  </r>
  <r>
    <d v="2025-01-10T00:00:00"/>
    <x v="4"/>
    <x v="5"/>
    <n v="3"/>
    <n v="98.15"/>
    <s v="Store D"/>
    <s v="Wholesale"/>
    <n v="0.15"/>
    <x v="4"/>
    <n v="250.2825"/>
    <s v="Debit Card"/>
    <s v="SAVE10"/>
    <n v="0"/>
    <s v="REG100735"/>
    <s v="Cust 7235"/>
    <n v="46.37"/>
    <d v="2025-01-10T00:00:00"/>
    <d v="2025-01-18T00:00:00"/>
    <s v="Wendy"/>
    <x v="12"/>
    <x v="3"/>
  </r>
  <r>
    <d v="2024-07-25T00:00:00"/>
    <x v="1"/>
    <x v="3"/>
    <n v="12"/>
    <n v="61.85"/>
    <s v="Store D"/>
    <s v="Wholesale"/>
    <n v="0.05"/>
    <x v="1"/>
    <n v="705.09"/>
    <s v="Credit Card"/>
    <m/>
    <n v="1"/>
    <s v="REG100736"/>
    <s v="Cust 8992"/>
    <n v="24.34"/>
    <d v="2024-07-25T00:00:00"/>
    <d v="2024-07-31T00:00:00"/>
    <s v="Sophie"/>
    <x v="10"/>
    <x v="8"/>
  </r>
  <r>
    <d v="2024-05-22T00:00:00"/>
    <x v="4"/>
    <x v="5"/>
    <n v="6"/>
    <n v="268.33999999999997"/>
    <s v="Store A"/>
    <s v="Wholesale"/>
    <n v="0.1"/>
    <x v="4"/>
    <n v="1449.0360000000001"/>
    <s v="Debit Card"/>
    <s v="WINTER15"/>
    <n v="1"/>
    <s v="REG100737"/>
    <s v="Cust 1889"/>
    <n v="35.69"/>
    <d v="2024-05-22T00:00:00"/>
    <d v="2024-05-25T00:00:00"/>
    <s v="Wendy"/>
    <x v="14"/>
    <x v="11"/>
  </r>
  <r>
    <d v="2024-08-10T00:00:00"/>
    <x v="3"/>
    <x v="2"/>
    <n v="4"/>
    <n v="529.03"/>
    <s v="Store B"/>
    <s v="Wholesale"/>
    <n v="0.05"/>
    <x v="3"/>
    <n v="2010.3140000000001"/>
    <s v="Online"/>
    <s v="SAVE10"/>
    <n v="0"/>
    <s v="REG100738"/>
    <s v="Cust 5411"/>
    <n v="25.96"/>
    <d v="2024-08-10T00:00:00"/>
    <d v="2024-08-20T00:00:00"/>
    <s v="Cameron"/>
    <x v="29"/>
    <x v="8"/>
  </r>
  <r>
    <d v="2023-04-27T00:00:00"/>
    <x v="4"/>
    <x v="5"/>
    <n v="2"/>
    <n v="107.32"/>
    <s v="Store B"/>
    <s v="Retail"/>
    <n v="0.05"/>
    <x v="1"/>
    <n v="203.90799999999999"/>
    <s v="Credit Card"/>
    <m/>
    <n v="0"/>
    <s v="REG100739"/>
    <s v="Cust 3411"/>
    <n v="47.33"/>
    <d v="2023-04-27T00:00:00"/>
    <d v="2023-04-29T00:00:00"/>
    <s v="Wendy"/>
    <x v="21"/>
    <x v="13"/>
  </r>
  <r>
    <d v="2023-06-21T00:00:00"/>
    <x v="1"/>
    <x v="5"/>
    <n v="1"/>
    <n v="500.96"/>
    <s v="Store C"/>
    <s v="Wholesale"/>
    <n v="0.05"/>
    <x v="2"/>
    <n v="475.91199999999998"/>
    <s v="Online"/>
    <s v="WINTER15"/>
    <n v="0"/>
    <s v="REG100740"/>
    <s v="Cust 7449"/>
    <n v="42.1"/>
    <d v="2023-06-21T00:00:00"/>
    <d v="2023-06-25T00:00:00"/>
    <s v="Sophie"/>
    <x v="4"/>
    <x v="2"/>
  </r>
  <r>
    <d v="2024-10-11T00:00:00"/>
    <x v="4"/>
    <x v="6"/>
    <n v="17"/>
    <n v="549.78"/>
    <s v="Store B"/>
    <s v="Wholesale"/>
    <n v="0.05"/>
    <x v="1"/>
    <n v="8878.9470000000001"/>
    <s v="Credit Card"/>
    <m/>
    <n v="1"/>
    <s v="REG100741"/>
    <s v="Cust 4788"/>
    <n v="44.42"/>
    <d v="2024-10-11T00:00:00"/>
    <d v="2024-10-14T00:00:00"/>
    <s v="Wendy"/>
    <x v="7"/>
    <x v="5"/>
  </r>
  <r>
    <d v="2025-01-26T00:00:00"/>
    <x v="2"/>
    <x v="0"/>
    <n v="3"/>
    <n v="58.51"/>
    <s v="Store A"/>
    <s v="Retail"/>
    <n v="0.05"/>
    <x v="3"/>
    <n v="166.7535"/>
    <s v="Cash"/>
    <s v="WINTER15"/>
    <n v="0"/>
    <s v="REG100742"/>
    <s v="Cust 3564"/>
    <n v="23.57"/>
    <d v="2025-01-26T00:00:00"/>
    <d v="2025-01-30T00:00:00"/>
    <s v="Ryan"/>
    <x v="12"/>
    <x v="3"/>
  </r>
  <r>
    <d v="2024-06-18T00:00:00"/>
    <x v="1"/>
    <x v="3"/>
    <n v="17"/>
    <n v="504.08"/>
    <s v="Store A"/>
    <s v="Wholesale"/>
    <n v="0.1"/>
    <x v="4"/>
    <n v="7712.4240000000009"/>
    <s v="Online"/>
    <s v="SAVE10"/>
    <n v="0"/>
    <s v="REG100743"/>
    <s v="Cust 8018"/>
    <n v="26.47"/>
    <d v="2024-06-18T00:00:00"/>
    <d v="2024-06-26T00:00:00"/>
    <s v="Sophie"/>
    <x v="23"/>
    <x v="11"/>
  </r>
  <r>
    <d v="2025-06-18T00:00:00"/>
    <x v="0"/>
    <x v="4"/>
    <n v="17"/>
    <n v="419.63"/>
    <s v="Store D"/>
    <s v="Wholesale"/>
    <n v="0"/>
    <x v="1"/>
    <n v="7133.71"/>
    <s v="Cash"/>
    <s v="SAVE10"/>
    <n v="0"/>
    <s v="REG100744"/>
    <s v="Cust 3045"/>
    <n v="17.399999999999999"/>
    <d v="2025-06-18T00:00:00"/>
    <d v="2025-06-24T00:00:00"/>
    <s v="Eric"/>
    <x v="16"/>
    <x v="10"/>
  </r>
  <r>
    <d v="2024-10-29T00:00:00"/>
    <x v="1"/>
    <x v="0"/>
    <n v="2"/>
    <n v="267.36"/>
    <s v="Store B"/>
    <s v="Wholesale"/>
    <n v="0.05"/>
    <x v="2"/>
    <n v="507.98399999999998"/>
    <s v="Online"/>
    <m/>
    <n v="0"/>
    <s v="REG100745"/>
    <s v="Cust 7020"/>
    <n v="21.36"/>
    <d v="2024-10-29T00:00:00"/>
    <d v="2024-11-07T00:00:00"/>
    <s v="Sophie"/>
    <x v="7"/>
    <x v="5"/>
  </r>
  <r>
    <d v="2025-04-08T00:00:00"/>
    <x v="3"/>
    <x v="1"/>
    <n v="2"/>
    <n v="298.06"/>
    <s v="Store B"/>
    <s v="Wholesale"/>
    <n v="0"/>
    <x v="1"/>
    <n v="596.12"/>
    <s v="Debit Card"/>
    <s v="SAVE10"/>
    <n v="1"/>
    <s v="REG100746"/>
    <s v="Cust 1905"/>
    <n v="35.369999999999997"/>
    <d v="2025-04-08T00:00:00"/>
    <d v="2025-04-14T00:00:00"/>
    <s v="Cameron"/>
    <x v="28"/>
    <x v="6"/>
  </r>
  <r>
    <d v="2023-01-31T00:00:00"/>
    <x v="3"/>
    <x v="5"/>
    <n v="13"/>
    <n v="132.97"/>
    <s v="Store B"/>
    <s v="Wholesale"/>
    <n v="0.05"/>
    <x v="2"/>
    <n v="1642.1795"/>
    <s v="Debit Card"/>
    <s v="WINTER15"/>
    <n v="0"/>
    <s v="REG100747"/>
    <s v="Cust 4592"/>
    <n v="42.87"/>
    <d v="2023-01-31T00:00:00"/>
    <d v="2023-02-05T00:00:00"/>
    <s v="Cameron"/>
    <x v="6"/>
    <x v="0"/>
  </r>
  <r>
    <d v="2024-03-15T00:00:00"/>
    <x v="4"/>
    <x v="3"/>
    <n v="14"/>
    <n v="476.28"/>
    <s v="Store A"/>
    <s v="Wholesale"/>
    <n v="0.1"/>
    <x v="0"/>
    <n v="6001.1280000000006"/>
    <s v="Credit Card"/>
    <s v="FREESHIP"/>
    <n v="0"/>
    <s v="REG100748"/>
    <s v="Cust 5482"/>
    <n v="22.11"/>
    <d v="2024-03-15T00:00:00"/>
    <d v="2024-03-20T00:00:00"/>
    <s v="Wendy"/>
    <x v="25"/>
    <x v="7"/>
  </r>
  <r>
    <d v="2023-06-23T00:00:00"/>
    <x v="2"/>
    <x v="5"/>
    <n v="16"/>
    <n v="294.88"/>
    <s v="Store B"/>
    <s v="Retail"/>
    <n v="0.05"/>
    <x v="2"/>
    <n v="4482.1759999999986"/>
    <s v="Cash"/>
    <m/>
    <n v="1"/>
    <s v="REG100749"/>
    <s v="Cust 1947"/>
    <n v="17.190000000000001"/>
    <d v="2023-06-23T00:00:00"/>
    <d v="2023-06-27T00:00:00"/>
    <s v="Ryan"/>
    <x v="4"/>
    <x v="2"/>
  </r>
  <r>
    <d v="2024-06-14T00:00:00"/>
    <x v="2"/>
    <x v="4"/>
    <n v="19"/>
    <n v="596.03"/>
    <s v="Store C"/>
    <s v="Retail"/>
    <n v="0.15"/>
    <x v="0"/>
    <n v="9625.8845000000001"/>
    <s v="Debit Card"/>
    <m/>
    <n v="0"/>
    <s v="REG100750"/>
    <s v="Cust 2801"/>
    <n v="31.95"/>
    <d v="2024-06-14T00:00:00"/>
    <d v="2024-06-23T00:00:00"/>
    <s v="Ryan"/>
    <x v="23"/>
    <x v="11"/>
  </r>
  <r>
    <d v="2023-11-30T00:00:00"/>
    <x v="4"/>
    <x v="2"/>
    <n v="6"/>
    <n v="182.4"/>
    <s v="Store B"/>
    <s v="Wholesale"/>
    <n v="0"/>
    <x v="1"/>
    <n v="1094.4000000000001"/>
    <s v="Online"/>
    <s v="FREESHIP"/>
    <n v="1"/>
    <s v="REG100751"/>
    <s v="Cust 8206"/>
    <n v="49.49"/>
    <d v="2023-11-30T00:00:00"/>
    <d v="2023-12-09T00:00:00"/>
    <s v="Wendy"/>
    <x v="15"/>
    <x v="12"/>
  </r>
  <r>
    <d v="2024-04-21T00:00:00"/>
    <x v="2"/>
    <x v="0"/>
    <n v="10"/>
    <n v="400.95"/>
    <s v="Store C"/>
    <s v="Retail"/>
    <n v="0.05"/>
    <x v="3"/>
    <n v="3809.0250000000001"/>
    <s v="Online"/>
    <m/>
    <n v="0"/>
    <s v="REG100752"/>
    <s v="Cust 5277"/>
    <n v="17.46"/>
    <d v="2024-04-21T00:00:00"/>
    <d v="2024-04-30T00:00:00"/>
    <s v="Ryan"/>
    <x v="9"/>
    <x v="7"/>
  </r>
  <r>
    <d v="2023-08-06T00:00:00"/>
    <x v="0"/>
    <x v="2"/>
    <n v="7"/>
    <n v="373.66"/>
    <s v="Store B"/>
    <s v="Retail"/>
    <n v="0.05"/>
    <x v="1"/>
    <n v="2484.8389999999999"/>
    <s v="Gift Card"/>
    <s v="SAVE10"/>
    <n v="0"/>
    <s v="REG100753"/>
    <s v="Cust 8900"/>
    <n v="46.33"/>
    <d v="2023-08-06T00:00:00"/>
    <d v="2023-08-12T00:00:00"/>
    <s v="Eric"/>
    <x v="18"/>
    <x v="9"/>
  </r>
  <r>
    <d v="2024-06-21T00:00:00"/>
    <x v="4"/>
    <x v="2"/>
    <n v="7"/>
    <n v="355.66"/>
    <s v="Store C"/>
    <s v="Retail"/>
    <n v="0.15"/>
    <x v="3"/>
    <n v="2116.1770000000001"/>
    <s v="Gift Card"/>
    <s v="FREESHIP"/>
    <n v="1"/>
    <s v="REG100754"/>
    <s v="Cust 9387"/>
    <n v="28.77"/>
    <d v="2024-06-21T00:00:00"/>
    <d v="2024-06-27T00:00:00"/>
    <s v="Wendy"/>
    <x v="23"/>
    <x v="11"/>
  </r>
  <r>
    <d v="2025-03-16T00:00:00"/>
    <x v="2"/>
    <x v="5"/>
    <n v="12"/>
    <n v="260.31"/>
    <s v="Store C"/>
    <s v="Retail"/>
    <n v="0.1"/>
    <x v="5"/>
    <n v="2811.348"/>
    <s v="Cash"/>
    <s v="SAVE10"/>
    <n v="0"/>
    <s v="REG100755"/>
    <s v="Cust 7013"/>
    <n v="14.58"/>
    <d v="2025-03-16T00:00:00"/>
    <d v="2025-03-24T00:00:00"/>
    <s v="Ryan"/>
    <x v="8"/>
    <x v="6"/>
  </r>
  <r>
    <d v="2024-04-20T00:00:00"/>
    <x v="4"/>
    <x v="5"/>
    <n v="10"/>
    <n v="370.99"/>
    <s v="Store B"/>
    <s v="Retail"/>
    <n v="0.15"/>
    <x v="2"/>
    <n v="3153.415"/>
    <s v="Online"/>
    <s v="SAVE10"/>
    <n v="1"/>
    <s v="REG100756"/>
    <s v="Cust 4868"/>
    <n v="11.16"/>
    <d v="2024-04-20T00:00:00"/>
    <d v="2024-04-25T00:00:00"/>
    <s v="Wendy"/>
    <x v="9"/>
    <x v="7"/>
  </r>
  <r>
    <d v="2024-12-20T00:00:00"/>
    <x v="0"/>
    <x v="0"/>
    <n v="2"/>
    <n v="548.72"/>
    <s v="Store A"/>
    <s v="Wholesale"/>
    <n v="0.1"/>
    <x v="2"/>
    <n v="987.69600000000003"/>
    <s v="Credit Card"/>
    <s v="FREESHIP"/>
    <n v="1"/>
    <s v="REG100757"/>
    <s v="Cust 5239"/>
    <n v="26.35"/>
    <d v="2024-12-20T00:00:00"/>
    <d v="2024-12-29T00:00:00"/>
    <s v="Eric"/>
    <x v="1"/>
    <x v="1"/>
  </r>
  <r>
    <d v="2023-08-22T00:00:00"/>
    <x v="2"/>
    <x v="6"/>
    <n v="8"/>
    <n v="343.53"/>
    <s v="Store A"/>
    <s v="Wholesale"/>
    <n v="0"/>
    <x v="2"/>
    <n v="2748.24"/>
    <s v="Cash"/>
    <m/>
    <n v="0"/>
    <s v="REG100758"/>
    <s v="Cust 4703"/>
    <n v="16.100000000000001"/>
    <d v="2023-08-22T00:00:00"/>
    <d v="2023-09-01T00:00:00"/>
    <s v="Ryan"/>
    <x v="18"/>
    <x v="9"/>
  </r>
  <r>
    <d v="2023-03-04T00:00:00"/>
    <x v="2"/>
    <x v="5"/>
    <n v="13"/>
    <n v="494.78"/>
    <s v="Store A"/>
    <s v="Wholesale"/>
    <n v="0.15"/>
    <x v="4"/>
    <n v="5467.3190000000004"/>
    <s v="Cash"/>
    <s v="FREESHIP"/>
    <n v="0"/>
    <s v="REG100759"/>
    <s v="Cust 7224"/>
    <n v="5.85"/>
    <d v="2023-03-04T00:00:00"/>
    <d v="2023-03-13T00:00:00"/>
    <s v="Ryan"/>
    <x v="17"/>
    <x v="13"/>
  </r>
  <r>
    <d v="2024-06-24T00:00:00"/>
    <x v="2"/>
    <x v="0"/>
    <n v="9"/>
    <n v="36.619999999999997"/>
    <s v="Store B"/>
    <s v="Wholesale"/>
    <n v="0.1"/>
    <x v="0"/>
    <n v="296.62200000000001"/>
    <s v="Debit Card"/>
    <s v="FREESHIP"/>
    <n v="1"/>
    <s v="REG100760"/>
    <s v="Cust 4751"/>
    <n v="29.9"/>
    <d v="2024-06-24T00:00:00"/>
    <d v="2024-07-01T00:00:00"/>
    <s v="Ryan"/>
    <x v="23"/>
    <x v="11"/>
  </r>
  <r>
    <d v="2024-12-09T00:00:00"/>
    <x v="0"/>
    <x v="5"/>
    <n v="14"/>
    <n v="216.2"/>
    <s v="Store C"/>
    <s v="Wholesale"/>
    <n v="0"/>
    <x v="4"/>
    <n v="3026.8"/>
    <s v="Online"/>
    <s v="WINTER15"/>
    <n v="0"/>
    <s v="REG100761"/>
    <s v="Cust 1201"/>
    <n v="14.39"/>
    <d v="2024-12-09T00:00:00"/>
    <d v="2024-12-13T00:00:00"/>
    <s v="Eric"/>
    <x v="1"/>
    <x v="1"/>
  </r>
  <r>
    <d v="2024-07-04T00:00:00"/>
    <x v="4"/>
    <x v="0"/>
    <n v="11"/>
    <n v="128.99"/>
    <s v="Store A"/>
    <s v="Retail"/>
    <n v="0.05"/>
    <x v="4"/>
    <n v="1347.9455"/>
    <s v="Debit Card"/>
    <s v="SAVE10"/>
    <n v="0"/>
    <s v="REG100762"/>
    <s v="Cust 9584"/>
    <n v="38.58"/>
    <d v="2024-07-04T00:00:00"/>
    <d v="2024-07-07T00:00:00"/>
    <s v="Wendy"/>
    <x v="10"/>
    <x v="8"/>
  </r>
  <r>
    <d v="2025-03-04T00:00:00"/>
    <x v="0"/>
    <x v="1"/>
    <n v="11"/>
    <n v="183.11"/>
    <s v="Store B"/>
    <s v="Retail"/>
    <n v="0.15"/>
    <x v="2"/>
    <n v="1712.0785000000001"/>
    <s v="Gift Card"/>
    <s v="FREESHIP"/>
    <n v="0"/>
    <s v="REG100763"/>
    <s v="Cust 6980"/>
    <n v="41.83"/>
    <d v="2025-03-04T00:00:00"/>
    <d v="2025-03-06T00:00:00"/>
    <s v="Eric"/>
    <x v="8"/>
    <x v="6"/>
  </r>
  <r>
    <d v="2024-01-22T00:00:00"/>
    <x v="0"/>
    <x v="6"/>
    <n v="11"/>
    <n v="277.95"/>
    <s v="Store A"/>
    <s v="Retail"/>
    <n v="0.05"/>
    <x v="2"/>
    <n v="2904.5774999999999"/>
    <s v="Gift Card"/>
    <s v="WINTER15"/>
    <n v="0"/>
    <s v="REG100764"/>
    <s v="Cust 2835"/>
    <n v="44.04"/>
    <d v="2024-01-22T00:00:00"/>
    <d v="2024-01-29T00:00:00"/>
    <s v="Eric"/>
    <x v="24"/>
    <x v="4"/>
  </r>
  <r>
    <d v="2025-03-12T00:00:00"/>
    <x v="0"/>
    <x v="2"/>
    <n v="14"/>
    <n v="554.08000000000004"/>
    <s v="Store A"/>
    <s v="Retail"/>
    <n v="0.05"/>
    <x v="4"/>
    <n v="7369.2640000000001"/>
    <s v="Cash"/>
    <m/>
    <n v="0"/>
    <s v="REG100765"/>
    <s v="Cust 4286"/>
    <n v="36.72"/>
    <d v="2025-03-12T00:00:00"/>
    <d v="2025-03-21T00:00:00"/>
    <s v="Eric"/>
    <x v="8"/>
    <x v="6"/>
  </r>
  <r>
    <d v="2025-02-28T00:00:00"/>
    <x v="3"/>
    <x v="1"/>
    <n v="15"/>
    <n v="23.32"/>
    <s v="Store A"/>
    <s v="Retail"/>
    <n v="0.05"/>
    <x v="3"/>
    <n v="332.31"/>
    <s v="Debit Card"/>
    <m/>
    <n v="0"/>
    <s v="REG100766"/>
    <s v="Cust 7876"/>
    <n v="25.27"/>
    <d v="2025-02-28T00:00:00"/>
    <d v="2025-03-03T00:00:00"/>
    <s v="Cameron"/>
    <x v="3"/>
    <x v="3"/>
  </r>
  <r>
    <d v="2024-05-23T00:00:00"/>
    <x v="0"/>
    <x v="2"/>
    <n v="4"/>
    <n v="20.96"/>
    <s v="Store D"/>
    <s v="Wholesale"/>
    <n v="0.05"/>
    <x v="5"/>
    <n v="79.647999999999996"/>
    <s v="Online"/>
    <s v="FREESHIP"/>
    <n v="1"/>
    <s v="REG100767"/>
    <s v="Cust 5926"/>
    <n v="33.67"/>
    <d v="2024-05-23T00:00:00"/>
    <d v="2024-05-31T00:00:00"/>
    <s v="Eric"/>
    <x v="14"/>
    <x v="11"/>
  </r>
  <r>
    <d v="2023-09-17T00:00:00"/>
    <x v="2"/>
    <x v="2"/>
    <n v="18"/>
    <n v="132.29"/>
    <s v="Store A"/>
    <s v="Wholesale"/>
    <n v="0.05"/>
    <x v="4"/>
    <n v="2262.1590000000001"/>
    <s v="Credit Card"/>
    <m/>
    <n v="1"/>
    <s v="REG100768"/>
    <s v="Cust 4478"/>
    <n v="24.3"/>
    <d v="2023-09-17T00:00:00"/>
    <d v="2023-09-20T00:00:00"/>
    <s v="Ryan"/>
    <x v="22"/>
    <x v="14"/>
  </r>
  <r>
    <d v="2023-06-13T00:00:00"/>
    <x v="0"/>
    <x v="1"/>
    <n v="19"/>
    <n v="199.65"/>
    <s v="Store A"/>
    <s v="Retail"/>
    <n v="0.1"/>
    <x v="3"/>
    <n v="3414.0149999999999"/>
    <s v="Cash"/>
    <s v="SAVE10"/>
    <n v="1"/>
    <s v="REG100769"/>
    <s v="Cust 4711"/>
    <n v="35.119999999999997"/>
    <d v="2023-06-13T00:00:00"/>
    <d v="2023-06-18T00:00:00"/>
    <s v="Eric"/>
    <x v="4"/>
    <x v="2"/>
  </r>
  <r>
    <d v="2025-05-31T00:00:00"/>
    <x v="4"/>
    <x v="1"/>
    <n v="16"/>
    <n v="307"/>
    <s v="Store A"/>
    <s v="Wholesale"/>
    <n v="0"/>
    <x v="5"/>
    <n v="4912"/>
    <s v="Debit Card"/>
    <s v="FREESHIP"/>
    <n v="0"/>
    <s v="REG100770"/>
    <s v="Cust 9227"/>
    <n v="11.99"/>
    <d v="2025-05-31T00:00:00"/>
    <d v="2025-06-02T00:00:00"/>
    <s v="Wendy"/>
    <x v="13"/>
    <x v="10"/>
  </r>
  <r>
    <d v="2023-10-11T00:00:00"/>
    <x v="0"/>
    <x v="5"/>
    <n v="1"/>
    <n v="315.93"/>
    <s v="Store C"/>
    <s v="Retail"/>
    <n v="0.15"/>
    <x v="1"/>
    <n v="268.54050000000001"/>
    <s v="Credit Card"/>
    <s v="SAVE10"/>
    <n v="0"/>
    <s v="REG100771"/>
    <s v="Cust 2830"/>
    <n v="43.2"/>
    <d v="2023-10-11T00:00:00"/>
    <d v="2023-10-14T00:00:00"/>
    <s v="Eric"/>
    <x v="19"/>
    <x v="14"/>
  </r>
  <r>
    <d v="2023-08-07T00:00:00"/>
    <x v="4"/>
    <x v="6"/>
    <n v="5"/>
    <n v="596.97"/>
    <s v="Store A"/>
    <s v="Retail"/>
    <n v="0"/>
    <x v="0"/>
    <n v="2984.85"/>
    <s v="Cash"/>
    <s v="SAVE10"/>
    <n v="0"/>
    <s v="REG100772"/>
    <s v="Cust 3767"/>
    <n v="14.43"/>
    <d v="2023-08-07T00:00:00"/>
    <d v="2023-08-14T00:00:00"/>
    <s v="Wendy"/>
    <x v="18"/>
    <x v="9"/>
  </r>
  <r>
    <d v="2023-12-03T00:00:00"/>
    <x v="2"/>
    <x v="0"/>
    <n v="17"/>
    <n v="376.98"/>
    <s v="Store A"/>
    <s v="Retail"/>
    <n v="0.05"/>
    <x v="3"/>
    <n v="6088.2269999999999"/>
    <s v="Debit Card"/>
    <m/>
    <n v="1"/>
    <s v="REG100773"/>
    <s v="Cust 1561"/>
    <n v="38.479999999999997"/>
    <d v="2023-12-03T00:00:00"/>
    <d v="2023-12-05T00:00:00"/>
    <s v="Ryan"/>
    <x v="27"/>
    <x v="12"/>
  </r>
  <r>
    <d v="2024-08-01T00:00:00"/>
    <x v="3"/>
    <x v="6"/>
    <n v="6"/>
    <n v="208.64"/>
    <s v="Store D"/>
    <s v="Retail"/>
    <n v="0.1"/>
    <x v="2"/>
    <n v="1126.6559999999999"/>
    <s v="Credit Card"/>
    <s v="FREESHIP"/>
    <n v="0"/>
    <s v="REG100774"/>
    <s v="Cust 8569"/>
    <n v="49.93"/>
    <d v="2024-08-01T00:00:00"/>
    <d v="2024-08-04T00:00:00"/>
    <s v="Cameron"/>
    <x v="29"/>
    <x v="8"/>
  </r>
  <r>
    <d v="2023-03-20T00:00:00"/>
    <x v="0"/>
    <x v="3"/>
    <n v="7"/>
    <n v="307.82"/>
    <s v="Store B"/>
    <s v="Wholesale"/>
    <n v="0"/>
    <x v="0"/>
    <n v="2154.7399999999998"/>
    <s v="Debit Card"/>
    <s v="WINTER15"/>
    <n v="1"/>
    <s v="REG100775"/>
    <s v="Cust 1254"/>
    <n v="14"/>
    <d v="2023-03-20T00:00:00"/>
    <d v="2023-03-27T00:00:00"/>
    <s v="Eric"/>
    <x v="17"/>
    <x v="13"/>
  </r>
  <r>
    <d v="2025-06-30T00:00:00"/>
    <x v="3"/>
    <x v="5"/>
    <n v="13"/>
    <n v="382.48"/>
    <s v="Store D"/>
    <s v="Retail"/>
    <n v="0.05"/>
    <x v="0"/>
    <n v="4723.6279999999997"/>
    <s v="Credit Card"/>
    <s v="WINTER15"/>
    <n v="0"/>
    <s v="REG100776"/>
    <s v="Cust 8556"/>
    <n v="7.59"/>
    <d v="2025-06-30T00:00:00"/>
    <d v="2025-07-04T00:00:00"/>
    <s v="Cameron"/>
    <x v="16"/>
    <x v="10"/>
  </r>
  <r>
    <d v="2025-02-05T00:00:00"/>
    <x v="1"/>
    <x v="2"/>
    <n v="9"/>
    <n v="188.03"/>
    <s v="Store B"/>
    <s v="Retail"/>
    <n v="0"/>
    <x v="2"/>
    <n v="1692.27"/>
    <s v="Cash"/>
    <s v="FREESHIP"/>
    <n v="0"/>
    <s v="REG100777"/>
    <s v="Cust 7204"/>
    <n v="11.44"/>
    <d v="2025-02-05T00:00:00"/>
    <d v="2025-02-07T00:00:00"/>
    <s v="Sophie"/>
    <x v="3"/>
    <x v="3"/>
  </r>
  <r>
    <d v="2024-05-19T00:00:00"/>
    <x v="0"/>
    <x v="2"/>
    <n v="17"/>
    <n v="238.17"/>
    <s v="Store D"/>
    <s v="Wholesale"/>
    <n v="0.15"/>
    <x v="2"/>
    <n v="3441.5565000000001"/>
    <s v="Cash"/>
    <s v="FREESHIP"/>
    <n v="0"/>
    <s v="REG100778"/>
    <s v="Cust 7725"/>
    <n v="21.64"/>
    <d v="2024-05-19T00:00:00"/>
    <d v="2024-05-29T00:00:00"/>
    <s v="Eric"/>
    <x v="14"/>
    <x v="11"/>
  </r>
  <r>
    <d v="2023-03-04T00:00:00"/>
    <x v="2"/>
    <x v="6"/>
    <n v="10"/>
    <n v="450.71"/>
    <s v="Store B"/>
    <s v="Retail"/>
    <n v="0.1"/>
    <x v="5"/>
    <n v="4056.389999999999"/>
    <s v="Gift Card"/>
    <s v="SAVE10"/>
    <n v="0"/>
    <s v="REG100779"/>
    <s v="Cust 9210"/>
    <n v="21.31"/>
    <d v="2023-03-04T00:00:00"/>
    <d v="2023-03-12T00:00:00"/>
    <s v="Ryan"/>
    <x v="17"/>
    <x v="13"/>
  </r>
  <r>
    <d v="2023-01-22T00:00:00"/>
    <x v="3"/>
    <x v="4"/>
    <n v="2"/>
    <n v="413.36"/>
    <s v="Store D"/>
    <s v="Retail"/>
    <n v="0.1"/>
    <x v="1"/>
    <n v="744.048"/>
    <s v="Online"/>
    <s v="SAVE10"/>
    <n v="1"/>
    <s v="REG100780"/>
    <s v="Cust 9085"/>
    <n v="41.69"/>
    <d v="2023-01-22T00:00:00"/>
    <d v="2023-01-24T00:00:00"/>
    <s v="Cameron"/>
    <x v="6"/>
    <x v="0"/>
  </r>
  <r>
    <d v="2023-03-20T00:00:00"/>
    <x v="1"/>
    <x v="1"/>
    <n v="20"/>
    <n v="536.71"/>
    <s v="Store B"/>
    <s v="Retail"/>
    <n v="0.15"/>
    <x v="3"/>
    <n v="9124.07"/>
    <s v="Debit Card"/>
    <s v="SAVE10"/>
    <n v="0"/>
    <s v="REG100781"/>
    <s v="Cust 4937"/>
    <n v="41.42"/>
    <d v="2023-03-20T00:00:00"/>
    <d v="2023-03-25T00:00:00"/>
    <s v="Sophie"/>
    <x v="17"/>
    <x v="13"/>
  </r>
  <r>
    <d v="2024-06-05T00:00:00"/>
    <x v="4"/>
    <x v="1"/>
    <n v="5"/>
    <n v="206.42"/>
    <s v="Store D"/>
    <s v="Retail"/>
    <n v="0.05"/>
    <x v="1"/>
    <n v="980.49499999999989"/>
    <s v="Debit Card"/>
    <s v="WINTER15"/>
    <n v="0"/>
    <s v="REG100782"/>
    <s v="Cust 3606"/>
    <n v="35.51"/>
    <d v="2024-06-05T00:00:00"/>
    <d v="2024-06-13T00:00:00"/>
    <s v="Wendy"/>
    <x v="23"/>
    <x v="11"/>
  </r>
  <r>
    <d v="2024-07-09T00:00:00"/>
    <x v="0"/>
    <x v="6"/>
    <n v="4"/>
    <n v="256.83"/>
    <s v="Store A"/>
    <s v="Wholesale"/>
    <n v="0.15"/>
    <x v="3"/>
    <n v="873.22199999999987"/>
    <s v="Cash"/>
    <m/>
    <n v="1"/>
    <s v="REG100783"/>
    <s v="Cust 5865"/>
    <n v="44.72"/>
    <d v="2024-07-09T00:00:00"/>
    <d v="2024-07-17T00:00:00"/>
    <s v="Eric"/>
    <x v="10"/>
    <x v="8"/>
  </r>
  <r>
    <d v="2025-03-08T00:00:00"/>
    <x v="1"/>
    <x v="4"/>
    <n v="1"/>
    <n v="247.04"/>
    <s v="Store C"/>
    <s v="Wholesale"/>
    <n v="0"/>
    <x v="5"/>
    <n v="247.04"/>
    <s v="Credit Card"/>
    <s v="FREESHIP"/>
    <n v="0"/>
    <s v="REG100784"/>
    <s v="Cust 7195"/>
    <n v="26.86"/>
    <d v="2025-03-08T00:00:00"/>
    <d v="2025-03-13T00:00:00"/>
    <s v="Sophie"/>
    <x v="8"/>
    <x v="6"/>
  </r>
  <r>
    <d v="2025-06-21T00:00:00"/>
    <x v="1"/>
    <x v="5"/>
    <n v="3"/>
    <n v="583.38"/>
    <s v="Store B"/>
    <s v="Retail"/>
    <n v="0.15"/>
    <x v="4"/>
    <n v="1487.6189999999999"/>
    <s v="Cash"/>
    <s v="WINTER15"/>
    <n v="1"/>
    <s v="REG100785"/>
    <s v="Cust 6113"/>
    <n v="30.12"/>
    <d v="2025-06-21T00:00:00"/>
    <d v="2025-06-30T00:00:00"/>
    <s v="Sophie"/>
    <x v="16"/>
    <x v="10"/>
  </r>
  <r>
    <d v="2025-06-28T00:00:00"/>
    <x v="2"/>
    <x v="5"/>
    <n v="13"/>
    <n v="341.38"/>
    <s v="Store C"/>
    <s v="Retail"/>
    <n v="0.15"/>
    <x v="1"/>
    <n v="3772.2489999999989"/>
    <s v="Cash"/>
    <m/>
    <n v="0"/>
    <s v="REG100786"/>
    <s v="Cust 9878"/>
    <n v="18.2"/>
    <d v="2025-06-28T00:00:00"/>
    <d v="2025-07-01T00:00:00"/>
    <s v="Ryan"/>
    <x v="16"/>
    <x v="10"/>
  </r>
  <r>
    <d v="2025-04-05T00:00:00"/>
    <x v="4"/>
    <x v="3"/>
    <n v="19"/>
    <n v="267.02999999999997"/>
    <s v="Store D"/>
    <s v="Wholesale"/>
    <n v="0.15"/>
    <x v="5"/>
    <n v="4312.5344999999998"/>
    <s v="Online"/>
    <s v="SAVE10"/>
    <n v="1"/>
    <s v="REG100787"/>
    <s v="Cust 3936"/>
    <n v="35.82"/>
    <d v="2025-04-05T00:00:00"/>
    <d v="2025-04-13T00:00:00"/>
    <s v="Wendy"/>
    <x v="28"/>
    <x v="6"/>
  </r>
  <r>
    <d v="2024-03-05T00:00:00"/>
    <x v="1"/>
    <x v="6"/>
    <n v="7"/>
    <n v="77.69"/>
    <s v="Store D"/>
    <s v="Wholesale"/>
    <n v="0"/>
    <x v="3"/>
    <n v="543.82999999999993"/>
    <s v="Credit Card"/>
    <s v="SAVE10"/>
    <n v="0"/>
    <s v="REG100788"/>
    <s v="Cust 3937"/>
    <n v="41.89"/>
    <d v="2024-03-05T00:00:00"/>
    <d v="2024-03-12T00:00:00"/>
    <s v="Sophie"/>
    <x v="25"/>
    <x v="7"/>
  </r>
  <r>
    <d v="2024-03-09T00:00:00"/>
    <x v="0"/>
    <x v="1"/>
    <n v="20"/>
    <n v="312.43"/>
    <s v="Store C"/>
    <s v="Retail"/>
    <n v="0"/>
    <x v="3"/>
    <n v="6248.6"/>
    <s v="Credit Card"/>
    <s v="SAVE10"/>
    <n v="0"/>
    <s v="REG100789"/>
    <s v="Cust 5262"/>
    <n v="28.11"/>
    <d v="2024-03-09T00:00:00"/>
    <d v="2024-03-11T00:00:00"/>
    <s v="Eric"/>
    <x v="25"/>
    <x v="7"/>
  </r>
  <r>
    <d v="2025-02-25T00:00:00"/>
    <x v="3"/>
    <x v="4"/>
    <n v="19"/>
    <n v="14.1"/>
    <s v="Store C"/>
    <s v="Wholesale"/>
    <n v="0.05"/>
    <x v="3"/>
    <n v="254.505"/>
    <s v="Cash"/>
    <s v="FREESHIP"/>
    <n v="0"/>
    <s v="REG100790"/>
    <s v="Cust 3892"/>
    <n v="37.840000000000003"/>
    <d v="2025-02-25T00:00:00"/>
    <d v="2025-02-28T00:00:00"/>
    <s v="Cameron"/>
    <x v="3"/>
    <x v="3"/>
  </r>
  <r>
    <d v="2024-11-16T00:00:00"/>
    <x v="4"/>
    <x v="5"/>
    <n v="17"/>
    <n v="266.83"/>
    <s v="Store D"/>
    <s v="Retail"/>
    <n v="0.05"/>
    <x v="2"/>
    <n v="4309.3044999999993"/>
    <s v="Credit Card"/>
    <s v="WINTER15"/>
    <n v="0"/>
    <s v="REG100791"/>
    <s v="Cust 8826"/>
    <n v="32.520000000000003"/>
    <d v="2024-11-16T00:00:00"/>
    <d v="2024-11-23T00:00:00"/>
    <s v="Wendy"/>
    <x v="20"/>
    <x v="1"/>
  </r>
  <r>
    <d v="2024-08-01T00:00:00"/>
    <x v="1"/>
    <x v="6"/>
    <n v="20"/>
    <n v="248.11"/>
    <s v="Store D"/>
    <s v="Wholesale"/>
    <n v="0.05"/>
    <x v="3"/>
    <n v="4714.09"/>
    <s v="Online"/>
    <s v="SAVE10"/>
    <n v="0"/>
    <s v="REG100792"/>
    <s v="Cust 1119"/>
    <n v="22.96"/>
    <d v="2024-08-01T00:00:00"/>
    <d v="2024-08-06T00:00:00"/>
    <s v="Sophie"/>
    <x v="29"/>
    <x v="8"/>
  </r>
  <r>
    <d v="2024-04-20T00:00:00"/>
    <x v="4"/>
    <x v="3"/>
    <n v="5"/>
    <n v="316.76"/>
    <s v="Store B"/>
    <s v="Retail"/>
    <n v="0.05"/>
    <x v="1"/>
    <n v="1504.61"/>
    <s v="Gift Card"/>
    <s v="FREESHIP"/>
    <n v="1"/>
    <s v="REG100793"/>
    <s v="Cust 2685"/>
    <n v="12.7"/>
    <d v="2024-04-20T00:00:00"/>
    <d v="2024-04-30T00:00:00"/>
    <s v="Wendy"/>
    <x v="9"/>
    <x v="7"/>
  </r>
  <r>
    <d v="2024-04-20T00:00:00"/>
    <x v="1"/>
    <x v="0"/>
    <n v="2"/>
    <n v="169.62"/>
    <s v="Store C"/>
    <s v="Retail"/>
    <n v="0.1"/>
    <x v="1"/>
    <n v="305.31599999999997"/>
    <s v="Debit Card"/>
    <m/>
    <n v="0"/>
    <s v="REG100794"/>
    <s v="Cust 5939"/>
    <n v="45.41"/>
    <d v="2024-04-20T00:00:00"/>
    <d v="2024-04-25T00:00:00"/>
    <s v="Sophie"/>
    <x v="9"/>
    <x v="7"/>
  </r>
  <r>
    <d v="2023-09-22T00:00:00"/>
    <x v="2"/>
    <x v="0"/>
    <n v="19"/>
    <n v="35.380000000000003"/>
    <s v="Store A"/>
    <s v="Retail"/>
    <n v="0.15"/>
    <x v="4"/>
    <n v="571.38700000000006"/>
    <s v="Online"/>
    <s v="SAVE10"/>
    <n v="0"/>
    <s v="REG100795"/>
    <s v="Cust 1791"/>
    <n v="7.06"/>
    <d v="2023-09-22T00:00:00"/>
    <d v="2023-09-28T00:00:00"/>
    <s v="Ryan"/>
    <x v="22"/>
    <x v="14"/>
  </r>
  <r>
    <d v="2025-02-21T00:00:00"/>
    <x v="4"/>
    <x v="3"/>
    <n v="3"/>
    <n v="264.08"/>
    <s v="Store A"/>
    <s v="Retail"/>
    <n v="0.1"/>
    <x v="4"/>
    <n v="713.01600000000008"/>
    <s v="Online"/>
    <m/>
    <n v="0"/>
    <s v="REG100796"/>
    <s v="Cust 8530"/>
    <n v="25.39"/>
    <d v="2025-02-21T00:00:00"/>
    <d v="2025-03-02T00:00:00"/>
    <s v="Wendy"/>
    <x v="3"/>
    <x v="3"/>
  </r>
  <r>
    <d v="2025-06-24T00:00:00"/>
    <x v="0"/>
    <x v="5"/>
    <n v="5"/>
    <n v="137.56"/>
    <s v="Store C"/>
    <s v="Wholesale"/>
    <n v="0.15"/>
    <x v="4"/>
    <n v="584.63"/>
    <s v="Debit Card"/>
    <s v="SAVE10"/>
    <n v="0"/>
    <s v="REG100797"/>
    <s v="Cust 4522"/>
    <n v="6.45"/>
    <d v="2025-06-24T00:00:00"/>
    <d v="2025-07-01T00:00:00"/>
    <s v="Eric"/>
    <x v="16"/>
    <x v="10"/>
  </r>
  <r>
    <d v="2023-11-28T00:00:00"/>
    <x v="3"/>
    <x v="0"/>
    <n v="8"/>
    <n v="157.93"/>
    <s v="Store B"/>
    <s v="Retail"/>
    <n v="0.15"/>
    <x v="4"/>
    <n v="1073.924"/>
    <s v="Online"/>
    <s v="SAVE10"/>
    <n v="0"/>
    <s v="REG100798"/>
    <s v="Cust 9619"/>
    <n v="6.31"/>
    <d v="2023-11-28T00:00:00"/>
    <d v="2023-12-05T00:00:00"/>
    <s v="Cameron"/>
    <x v="15"/>
    <x v="12"/>
  </r>
  <r>
    <d v="2024-04-08T00:00:00"/>
    <x v="2"/>
    <x v="2"/>
    <n v="6"/>
    <n v="126.86"/>
    <s v="Store C"/>
    <s v="Wholesale"/>
    <n v="0.05"/>
    <x v="0"/>
    <n v="723.10199999999998"/>
    <s v="Debit Card"/>
    <s v="FREESHIP"/>
    <n v="0"/>
    <s v="REG100799"/>
    <s v="Cust 1637"/>
    <n v="35.49"/>
    <d v="2024-04-08T00:00:00"/>
    <d v="2024-04-17T00:00:00"/>
    <s v="Ryan"/>
    <x v="9"/>
    <x v="7"/>
  </r>
  <r>
    <d v="2025-01-07T00:00:00"/>
    <x v="2"/>
    <x v="3"/>
    <n v="15"/>
    <n v="240.05"/>
    <s v="Store C"/>
    <s v="Retail"/>
    <n v="0.05"/>
    <x v="3"/>
    <n v="3420.7125000000001"/>
    <s v="Credit Card"/>
    <s v="FREESHIP"/>
    <n v="0"/>
    <s v="REG100800"/>
    <s v="Cust 6914"/>
    <n v="14.31"/>
    <d v="2025-01-07T00:00:00"/>
    <d v="2025-01-14T00:00:00"/>
    <s v="Ryan"/>
    <x v="12"/>
    <x v="3"/>
  </r>
  <r>
    <d v="2023-02-24T00:00:00"/>
    <x v="1"/>
    <x v="5"/>
    <n v="3"/>
    <n v="37.630000000000003"/>
    <s v="Store A"/>
    <s v="Wholesale"/>
    <n v="0.1"/>
    <x v="3"/>
    <n v="101.601"/>
    <s v="Debit Card"/>
    <s v="FREESHIP"/>
    <n v="0"/>
    <s v="REG100801"/>
    <s v="Cust 5737"/>
    <n v="43.7"/>
    <d v="2023-02-24T00:00:00"/>
    <d v="2023-03-03T00:00:00"/>
    <s v="Sophie"/>
    <x v="0"/>
    <x v="0"/>
  </r>
  <r>
    <d v="2023-10-19T00:00:00"/>
    <x v="0"/>
    <x v="3"/>
    <n v="13"/>
    <n v="393.1"/>
    <s v="Store B"/>
    <s v="Wholesale"/>
    <n v="0.1"/>
    <x v="1"/>
    <n v="4599.2700000000004"/>
    <s v="Online"/>
    <m/>
    <n v="0"/>
    <s v="REG100802"/>
    <s v="Cust 5301"/>
    <n v="12.64"/>
    <d v="2023-10-19T00:00:00"/>
    <d v="2023-10-26T00:00:00"/>
    <s v="Eric"/>
    <x v="19"/>
    <x v="14"/>
  </r>
  <r>
    <d v="2024-06-17T00:00:00"/>
    <x v="2"/>
    <x v="3"/>
    <n v="10"/>
    <n v="83.86"/>
    <s v="Store A"/>
    <s v="Wholesale"/>
    <n v="0.15"/>
    <x v="1"/>
    <n v="712.81"/>
    <s v="Credit Card"/>
    <m/>
    <n v="0"/>
    <s v="REG100803"/>
    <s v="Cust 2524"/>
    <n v="41.11"/>
    <d v="2024-06-17T00:00:00"/>
    <d v="2024-06-21T00:00:00"/>
    <s v="Ryan"/>
    <x v="23"/>
    <x v="11"/>
  </r>
  <r>
    <d v="2023-06-21T00:00:00"/>
    <x v="3"/>
    <x v="2"/>
    <n v="10"/>
    <n v="110.07"/>
    <s v="Store B"/>
    <s v="Wholesale"/>
    <n v="0"/>
    <x v="2"/>
    <n v="1100.7"/>
    <s v="Credit Card"/>
    <m/>
    <n v="0"/>
    <s v="REG100804"/>
    <s v="Cust 8480"/>
    <n v="18.47"/>
    <d v="2023-06-21T00:00:00"/>
    <d v="2023-06-29T00:00:00"/>
    <s v="Cameron"/>
    <x v="4"/>
    <x v="2"/>
  </r>
  <r>
    <d v="2024-08-30T00:00:00"/>
    <x v="0"/>
    <x v="1"/>
    <n v="6"/>
    <n v="288.98"/>
    <s v="Store C"/>
    <s v="Wholesale"/>
    <n v="0.15"/>
    <x v="4"/>
    <n v="1473.798"/>
    <s v="Gift Card"/>
    <m/>
    <n v="0"/>
    <s v="REG100805"/>
    <s v="Cust 2595"/>
    <n v="38.630000000000003"/>
    <d v="2024-08-30T00:00:00"/>
    <d v="2024-09-02T00:00:00"/>
    <s v="Eric"/>
    <x v="29"/>
    <x v="5"/>
  </r>
  <r>
    <d v="2025-01-03T00:00:00"/>
    <x v="3"/>
    <x v="2"/>
    <n v="10"/>
    <n v="451.14"/>
    <s v="Store A"/>
    <s v="Retail"/>
    <n v="0"/>
    <x v="5"/>
    <n v="4511.3999999999996"/>
    <s v="Gift Card"/>
    <s v="FREESHIP"/>
    <n v="0"/>
    <s v="REG100806"/>
    <s v="Cust 7132"/>
    <n v="29.96"/>
    <d v="2025-01-03T00:00:00"/>
    <d v="2025-01-13T00:00:00"/>
    <s v="Cameron"/>
    <x v="12"/>
    <x v="3"/>
  </r>
  <r>
    <d v="2023-02-23T00:00:00"/>
    <x v="4"/>
    <x v="6"/>
    <n v="16"/>
    <n v="509.08"/>
    <s v="Store C"/>
    <s v="Wholesale"/>
    <n v="0"/>
    <x v="3"/>
    <n v="8145.28"/>
    <s v="Online"/>
    <s v="FREESHIP"/>
    <n v="0"/>
    <s v="REG100807"/>
    <s v="Cust 4240"/>
    <n v="37.53"/>
    <d v="2023-02-23T00:00:00"/>
    <d v="2023-03-02T00:00:00"/>
    <s v="Wendy"/>
    <x v="0"/>
    <x v="0"/>
  </r>
  <r>
    <d v="2025-04-26T00:00:00"/>
    <x v="3"/>
    <x v="6"/>
    <n v="4"/>
    <n v="582.73"/>
    <s v="Store D"/>
    <s v="Wholesale"/>
    <n v="0.05"/>
    <x v="3"/>
    <n v="2214.3739999999998"/>
    <s v="Cash"/>
    <s v="WINTER15"/>
    <n v="0"/>
    <s v="REG100808"/>
    <s v="Cust 4644"/>
    <n v="44.26"/>
    <d v="2025-04-26T00:00:00"/>
    <d v="2025-04-29T00:00:00"/>
    <s v="Cameron"/>
    <x v="28"/>
    <x v="6"/>
  </r>
  <r>
    <d v="2023-06-08T00:00:00"/>
    <x v="1"/>
    <x v="1"/>
    <n v="9"/>
    <n v="115.24"/>
    <s v="Store B"/>
    <s v="Wholesale"/>
    <n v="0"/>
    <x v="1"/>
    <n v="1037.1600000000001"/>
    <s v="Credit Card"/>
    <s v="FREESHIP"/>
    <n v="0"/>
    <s v="REG100809"/>
    <s v="Cust 5133"/>
    <n v="8.2799999999999994"/>
    <d v="2023-06-08T00:00:00"/>
    <d v="2023-06-14T00:00:00"/>
    <s v="Sophie"/>
    <x v="4"/>
    <x v="2"/>
  </r>
  <r>
    <d v="2023-03-16T00:00:00"/>
    <x v="2"/>
    <x v="4"/>
    <n v="14"/>
    <n v="565.45000000000005"/>
    <s v="Store D"/>
    <s v="Wholesale"/>
    <n v="0.1"/>
    <x v="0"/>
    <n v="7124.670000000001"/>
    <s v="Online"/>
    <s v="WINTER15"/>
    <n v="0"/>
    <s v="REG100810"/>
    <s v="Cust 1731"/>
    <n v="24.4"/>
    <d v="2023-03-16T00:00:00"/>
    <d v="2023-03-25T00:00:00"/>
    <s v="Ryan"/>
    <x v="17"/>
    <x v="13"/>
  </r>
  <r>
    <d v="2024-10-23T00:00:00"/>
    <x v="2"/>
    <x v="1"/>
    <n v="11"/>
    <n v="121.54"/>
    <s v="Store D"/>
    <s v="Wholesale"/>
    <n v="0"/>
    <x v="3"/>
    <n v="1336.94"/>
    <s v="Credit Card"/>
    <s v="SAVE10"/>
    <n v="0"/>
    <s v="REG100811"/>
    <s v="Cust 3739"/>
    <n v="16.62"/>
    <d v="2024-10-23T00:00:00"/>
    <d v="2024-10-28T00:00:00"/>
    <s v="Ryan"/>
    <x v="7"/>
    <x v="5"/>
  </r>
  <r>
    <d v="2025-05-23T00:00:00"/>
    <x v="0"/>
    <x v="6"/>
    <n v="9"/>
    <n v="160.15"/>
    <s v="Store D"/>
    <s v="Retail"/>
    <n v="0.1"/>
    <x v="1"/>
    <n v="1297.2149999999999"/>
    <s v="Debit Card"/>
    <m/>
    <n v="1"/>
    <s v="REG100812"/>
    <s v="Cust 3853"/>
    <n v="29.64"/>
    <d v="2025-05-23T00:00:00"/>
    <d v="2025-05-28T00:00:00"/>
    <s v="Eric"/>
    <x v="13"/>
    <x v="10"/>
  </r>
  <r>
    <d v="2023-05-06T00:00:00"/>
    <x v="0"/>
    <x v="2"/>
    <n v="14"/>
    <n v="175.66"/>
    <s v="Store B"/>
    <s v="Wholesale"/>
    <n v="0.05"/>
    <x v="5"/>
    <n v="2336.2779999999998"/>
    <s v="Cash"/>
    <s v="SAVE10"/>
    <n v="0"/>
    <s v="REG100813"/>
    <s v="Cust 6830"/>
    <n v="26.12"/>
    <d v="2023-05-06T00:00:00"/>
    <d v="2023-05-14T00:00:00"/>
    <s v="Eric"/>
    <x v="2"/>
    <x v="2"/>
  </r>
  <r>
    <d v="2024-08-15T00:00:00"/>
    <x v="1"/>
    <x v="5"/>
    <n v="3"/>
    <n v="437.97"/>
    <s v="Store C"/>
    <s v="Wholesale"/>
    <n v="0.05"/>
    <x v="0"/>
    <n v="1248.2145"/>
    <s v="Cash"/>
    <s v="SAVE10"/>
    <n v="1"/>
    <s v="REG100814"/>
    <s v="Cust 5351"/>
    <n v="23.29"/>
    <d v="2024-08-15T00:00:00"/>
    <d v="2024-08-22T00:00:00"/>
    <s v="Sophie"/>
    <x v="29"/>
    <x v="8"/>
  </r>
  <r>
    <d v="2023-08-23T00:00:00"/>
    <x v="1"/>
    <x v="6"/>
    <n v="12"/>
    <n v="411.59"/>
    <s v="Store B"/>
    <s v="Wholesale"/>
    <n v="0.15"/>
    <x v="4"/>
    <n v="4198.2179999999998"/>
    <s v="Cash"/>
    <s v="FREESHIP"/>
    <n v="0"/>
    <s v="REG100815"/>
    <s v="Cust 5845"/>
    <n v="19.170000000000002"/>
    <d v="2023-08-23T00:00:00"/>
    <d v="2023-08-31T00:00:00"/>
    <s v="Sophie"/>
    <x v="18"/>
    <x v="9"/>
  </r>
  <r>
    <d v="2025-04-13T00:00:00"/>
    <x v="1"/>
    <x v="0"/>
    <n v="1"/>
    <n v="163.29"/>
    <s v="Store B"/>
    <s v="Retail"/>
    <n v="0"/>
    <x v="4"/>
    <n v="163.29"/>
    <s v="Credit Card"/>
    <s v="WINTER15"/>
    <n v="0"/>
    <s v="REG100816"/>
    <s v="Cust 7004"/>
    <n v="21.15"/>
    <d v="2025-04-13T00:00:00"/>
    <d v="2025-04-22T00:00:00"/>
    <s v="Sophie"/>
    <x v="28"/>
    <x v="6"/>
  </r>
  <r>
    <d v="2024-06-11T00:00:00"/>
    <x v="3"/>
    <x v="2"/>
    <n v="5"/>
    <n v="538.52"/>
    <s v="Store B"/>
    <s v="Wholesale"/>
    <n v="0.05"/>
    <x v="1"/>
    <n v="2557.9699999999998"/>
    <s v="Gift Card"/>
    <m/>
    <n v="0"/>
    <s v="REG100817"/>
    <s v="Cust 4095"/>
    <n v="45.81"/>
    <d v="2024-06-11T00:00:00"/>
    <d v="2024-06-17T00:00:00"/>
    <s v="Cameron"/>
    <x v="23"/>
    <x v="11"/>
  </r>
  <r>
    <d v="2024-04-29T00:00:00"/>
    <x v="1"/>
    <x v="1"/>
    <n v="11"/>
    <n v="255.95"/>
    <s v="Store C"/>
    <s v="Wholesale"/>
    <n v="0.1"/>
    <x v="1"/>
    <n v="2533.9050000000002"/>
    <s v="Online"/>
    <m/>
    <n v="0"/>
    <s v="REG100818"/>
    <s v="Cust 7833"/>
    <n v="21.99"/>
    <d v="2024-04-29T00:00:00"/>
    <d v="2024-05-04T00:00:00"/>
    <s v="Sophie"/>
    <x v="9"/>
    <x v="7"/>
  </r>
  <r>
    <d v="2023-03-27T00:00:00"/>
    <x v="1"/>
    <x v="2"/>
    <n v="7"/>
    <n v="290.22000000000003"/>
    <s v="Store A"/>
    <s v="Retail"/>
    <n v="0.1"/>
    <x v="1"/>
    <n v="1828.386"/>
    <s v="Cash"/>
    <s v="WINTER15"/>
    <n v="0"/>
    <s v="REG100819"/>
    <s v="Cust 5826"/>
    <n v="33.15"/>
    <d v="2023-03-27T00:00:00"/>
    <d v="2023-04-04T00:00:00"/>
    <s v="Sophie"/>
    <x v="17"/>
    <x v="13"/>
  </r>
  <r>
    <d v="2024-10-23T00:00:00"/>
    <x v="2"/>
    <x v="3"/>
    <n v="20"/>
    <n v="198.95"/>
    <s v="Store B"/>
    <s v="Retail"/>
    <n v="0.1"/>
    <x v="4"/>
    <n v="3581.1"/>
    <s v="Credit Card"/>
    <m/>
    <n v="1"/>
    <s v="REG100820"/>
    <s v="Cust 9410"/>
    <n v="5.16"/>
    <d v="2024-10-23T00:00:00"/>
    <d v="2024-10-25T00:00:00"/>
    <s v="Ryan"/>
    <x v="7"/>
    <x v="5"/>
  </r>
  <r>
    <d v="2023-06-21T00:00:00"/>
    <x v="2"/>
    <x v="6"/>
    <n v="11"/>
    <n v="577.1"/>
    <s v="Store C"/>
    <s v="Retail"/>
    <n v="0.15"/>
    <x v="2"/>
    <n v="5395.8850000000002"/>
    <s v="Cash"/>
    <s v="SAVE10"/>
    <n v="0"/>
    <s v="REG100821"/>
    <s v="Cust 9397"/>
    <n v="13.16"/>
    <d v="2023-06-21T00:00:00"/>
    <d v="2023-06-28T00:00:00"/>
    <s v="Ryan"/>
    <x v="4"/>
    <x v="2"/>
  </r>
  <r>
    <d v="2023-05-12T00:00:00"/>
    <x v="3"/>
    <x v="6"/>
    <n v="10"/>
    <n v="50.1"/>
    <s v="Store A"/>
    <s v="Wholesale"/>
    <n v="0.1"/>
    <x v="5"/>
    <n v="450.9"/>
    <s v="Cash"/>
    <s v="FREESHIP"/>
    <n v="1"/>
    <s v="REG100822"/>
    <s v="Cust 6665"/>
    <n v="23.43"/>
    <d v="2023-05-12T00:00:00"/>
    <d v="2023-05-19T00:00:00"/>
    <s v="Cameron"/>
    <x v="2"/>
    <x v="2"/>
  </r>
  <r>
    <d v="2024-10-20T00:00:00"/>
    <x v="3"/>
    <x v="6"/>
    <n v="19"/>
    <n v="554.5"/>
    <s v="Store B"/>
    <s v="Retail"/>
    <n v="0.15"/>
    <x v="3"/>
    <n v="8955.1749999999993"/>
    <s v="Online"/>
    <m/>
    <n v="1"/>
    <s v="REG100823"/>
    <s v="Cust 2590"/>
    <n v="47.16"/>
    <d v="2024-10-20T00:00:00"/>
    <d v="2024-10-24T00:00:00"/>
    <s v="Cameron"/>
    <x v="7"/>
    <x v="5"/>
  </r>
  <r>
    <d v="2024-04-04T00:00:00"/>
    <x v="2"/>
    <x v="0"/>
    <n v="14"/>
    <n v="117.31"/>
    <s v="Store A"/>
    <s v="Wholesale"/>
    <n v="0"/>
    <x v="4"/>
    <n v="1642.34"/>
    <s v="Online"/>
    <s v="WINTER15"/>
    <n v="0"/>
    <s v="REG100824"/>
    <s v="Cust 4599"/>
    <n v="41.24"/>
    <d v="2024-04-04T00:00:00"/>
    <d v="2024-04-07T00:00:00"/>
    <s v="Ryan"/>
    <x v="9"/>
    <x v="7"/>
  </r>
  <r>
    <d v="2025-01-12T00:00:00"/>
    <x v="3"/>
    <x v="5"/>
    <n v="3"/>
    <n v="193.98"/>
    <s v="Store A"/>
    <s v="Retail"/>
    <n v="0"/>
    <x v="5"/>
    <n v="581.93999999999994"/>
    <s v="Credit Card"/>
    <s v="WINTER15"/>
    <n v="0"/>
    <s v="REG100825"/>
    <s v="Cust 7166"/>
    <n v="27.53"/>
    <d v="2025-01-12T00:00:00"/>
    <d v="2025-01-16T00:00:00"/>
    <s v="Cameron"/>
    <x v="12"/>
    <x v="3"/>
  </r>
  <r>
    <d v="2023-07-24T00:00:00"/>
    <x v="1"/>
    <x v="1"/>
    <n v="20"/>
    <n v="386.86"/>
    <s v="Store A"/>
    <s v="Wholesale"/>
    <n v="0.05"/>
    <x v="3"/>
    <n v="7350.34"/>
    <s v="Online"/>
    <s v="WINTER15"/>
    <n v="0"/>
    <s v="REG100826"/>
    <s v="Cust 6177"/>
    <n v="41.56"/>
    <d v="2023-07-24T00:00:00"/>
    <d v="2023-07-29T00:00:00"/>
    <s v="Sophie"/>
    <x v="11"/>
    <x v="9"/>
  </r>
  <r>
    <d v="2023-09-09T00:00:00"/>
    <x v="2"/>
    <x v="3"/>
    <n v="12"/>
    <n v="81.33"/>
    <s v="Store D"/>
    <s v="Wholesale"/>
    <n v="0"/>
    <x v="3"/>
    <n v="975.96"/>
    <s v="Cash"/>
    <s v="SAVE10"/>
    <n v="1"/>
    <s v="REG100827"/>
    <s v="Cust 6229"/>
    <n v="30.73"/>
    <d v="2023-09-09T00:00:00"/>
    <d v="2023-09-13T00:00:00"/>
    <s v="Ryan"/>
    <x v="22"/>
    <x v="14"/>
  </r>
  <r>
    <d v="2024-04-20T00:00:00"/>
    <x v="0"/>
    <x v="6"/>
    <n v="5"/>
    <n v="550.65"/>
    <s v="Store A"/>
    <s v="Retail"/>
    <n v="0.15"/>
    <x v="5"/>
    <n v="2340.2624999999998"/>
    <s v="Gift Card"/>
    <m/>
    <n v="0"/>
    <s v="REG100828"/>
    <s v="Cust 2899"/>
    <n v="16.82"/>
    <d v="2024-04-20T00:00:00"/>
    <d v="2024-04-27T00:00:00"/>
    <s v="Eric"/>
    <x v="9"/>
    <x v="7"/>
  </r>
  <r>
    <d v="2025-02-06T00:00:00"/>
    <x v="4"/>
    <x v="6"/>
    <n v="4"/>
    <n v="473.91"/>
    <s v="Store A"/>
    <s v="Retail"/>
    <n v="0.05"/>
    <x v="0"/>
    <n v="1800.8579999999999"/>
    <s v="Credit Card"/>
    <s v="SAVE10"/>
    <n v="0"/>
    <s v="REG100829"/>
    <s v="Cust 5322"/>
    <n v="29.22"/>
    <d v="2025-02-06T00:00:00"/>
    <d v="2025-02-14T00:00:00"/>
    <s v="Wendy"/>
    <x v="3"/>
    <x v="3"/>
  </r>
  <r>
    <d v="2023-06-18T00:00:00"/>
    <x v="4"/>
    <x v="5"/>
    <n v="19"/>
    <n v="25.22"/>
    <s v="Store C"/>
    <s v="Wholesale"/>
    <n v="0"/>
    <x v="5"/>
    <n v="479.17999999999989"/>
    <s v="Credit Card"/>
    <m/>
    <n v="0"/>
    <s v="REG100830"/>
    <s v="Cust 7063"/>
    <n v="31.31"/>
    <d v="2023-06-18T00:00:00"/>
    <d v="2023-06-22T00:00:00"/>
    <s v="Wendy"/>
    <x v="4"/>
    <x v="2"/>
  </r>
  <r>
    <d v="2024-11-01T00:00:00"/>
    <x v="2"/>
    <x v="1"/>
    <n v="2"/>
    <n v="437.04"/>
    <s v="Store C"/>
    <s v="Wholesale"/>
    <n v="0"/>
    <x v="2"/>
    <n v="874.08"/>
    <s v="Credit Card"/>
    <s v="SAVE10"/>
    <n v="1"/>
    <s v="REG100831"/>
    <s v="Cust 7487"/>
    <n v="37.369999999999997"/>
    <d v="2024-11-01T00:00:00"/>
    <d v="2024-11-08T00:00:00"/>
    <s v="Ryan"/>
    <x v="20"/>
    <x v="1"/>
  </r>
  <r>
    <d v="2024-08-12T00:00:00"/>
    <x v="4"/>
    <x v="2"/>
    <n v="5"/>
    <n v="448.86"/>
    <s v="Store C"/>
    <s v="Wholesale"/>
    <n v="0.15"/>
    <x v="2"/>
    <n v="1907.655"/>
    <s v="Credit Card"/>
    <s v="SAVE10"/>
    <n v="1"/>
    <s v="REG100832"/>
    <s v="Cust 5481"/>
    <n v="21.22"/>
    <d v="2024-08-12T00:00:00"/>
    <d v="2024-08-21T00:00:00"/>
    <s v="Wendy"/>
    <x v="29"/>
    <x v="8"/>
  </r>
  <r>
    <d v="2025-04-08T00:00:00"/>
    <x v="3"/>
    <x v="1"/>
    <n v="14"/>
    <n v="299.94"/>
    <s v="Store D"/>
    <s v="Retail"/>
    <n v="0"/>
    <x v="3"/>
    <n v="4199.16"/>
    <s v="Gift Card"/>
    <s v="FREESHIP"/>
    <n v="0"/>
    <s v="REG100833"/>
    <s v="Cust 3150"/>
    <n v="21.04"/>
    <d v="2025-04-08T00:00:00"/>
    <d v="2025-04-17T00:00:00"/>
    <s v="Cameron"/>
    <x v="28"/>
    <x v="6"/>
  </r>
  <r>
    <d v="2024-07-20T00:00:00"/>
    <x v="3"/>
    <x v="0"/>
    <n v="8"/>
    <n v="224.18"/>
    <s v="Store B"/>
    <s v="Retail"/>
    <n v="0.15"/>
    <x v="5"/>
    <n v="1524.424"/>
    <s v="Debit Card"/>
    <m/>
    <n v="0"/>
    <s v="REG100834"/>
    <s v="Cust 5099"/>
    <n v="36.9"/>
    <d v="2024-07-20T00:00:00"/>
    <d v="2024-07-26T00:00:00"/>
    <s v="Cameron"/>
    <x v="10"/>
    <x v="8"/>
  </r>
  <r>
    <d v="2023-02-17T00:00:00"/>
    <x v="4"/>
    <x v="2"/>
    <n v="6"/>
    <n v="327.69"/>
    <s v="Store D"/>
    <s v="Wholesale"/>
    <n v="0.05"/>
    <x v="4"/>
    <n v="1867.8330000000001"/>
    <s v="Cash"/>
    <m/>
    <n v="0"/>
    <s v="REG100835"/>
    <s v="Cust 6615"/>
    <n v="22.34"/>
    <d v="2023-02-17T00:00:00"/>
    <d v="2023-02-21T00:00:00"/>
    <s v="Wendy"/>
    <x v="0"/>
    <x v="0"/>
  </r>
  <r>
    <d v="2024-07-02T00:00:00"/>
    <x v="0"/>
    <x v="1"/>
    <n v="8"/>
    <n v="432.27"/>
    <s v="Store D"/>
    <s v="Retail"/>
    <n v="0.05"/>
    <x v="0"/>
    <n v="3285.251999999999"/>
    <s v="Cash"/>
    <s v="FREESHIP"/>
    <n v="1"/>
    <s v="REG100836"/>
    <s v="Cust 6924"/>
    <n v="20.64"/>
    <d v="2024-07-02T00:00:00"/>
    <d v="2024-07-04T00:00:00"/>
    <s v="Eric"/>
    <x v="10"/>
    <x v="8"/>
  </r>
  <r>
    <d v="2025-04-01T00:00:00"/>
    <x v="2"/>
    <x v="4"/>
    <n v="4"/>
    <n v="249.98"/>
    <s v="Store C"/>
    <s v="Retail"/>
    <n v="0.15"/>
    <x v="0"/>
    <n v="849.9319999999999"/>
    <s v="Debit Card"/>
    <s v="SAVE10"/>
    <n v="0"/>
    <s v="REG100837"/>
    <s v="Cust 2411"/>
    <n v="49.08"/>
    <d v="2025-04-01T00:00:00"/>
    <d v="2025-04-04T00:00:00"/>
    <s v="Ryan"/>
    <x v="28"/>
    <x v="6"/>
  </r>
  <r>
    <d v="2025-06-02T00:00:00"/>
    <x v="1"/>
    <x v="6"/>
    <n v="14"/>
    <n v="194.31"/>
    <s v="Store C"/>
    <s v="Wholesale"/>
    <n v="0.15"/>
    <x v="2"/>
    <n v="2312.2890000000002"/>
    <s v="Debit Card"/>
    <s v="FREESHIP"/>
    <n v="0"/>
    <s v="REG100838"/>
    <s v="Cust 9648"/>
    <n v="15.3"/>
    <d v="2025-06-02T00:00:00"/>
    <d v="2025-06-09T00:00:00"/>
    <s v="Sophie"/>
    <x v="16"/>
    <x v="10"/>
  </r>
  <r>
    <d v="2024-11-21T00:00:00"/>
    <x v="4"/>
    <x v="1"/>
    <n v="5"/>
    <n v="69.290000000000006"/>
    <s v="Store C"/>
    <s v="Wholesale"/>
    <n v="0"/>
    <x v="3"/>
    <n v="346.45"/>
    <s v="Credit Card"/>
    <m/>
    <n v="0"/>
    <s v="REG100839"/>
    <s v="Cust 1974"/>
    <n v="20.83"/>
    <d v="2024-11-21T00:00:00"/>
    <d v="2024-11-29T00:00:00"/>
    <s v="Wendy"/>
    <x v="20"/>
    <x v="1"/>
  </r>
  <r>
    <d v="2024-01-10T00:00:00"/>
    <x v="1"/>
    <x v="6"/>
    <n v="15"/>
    <n v="306.91000000000003"/>
    <s v="Store A"/>
    <s v="Retail"/>
    <n v="0"/>
    <x v="3"/>
    <n v="4603.6500000000005"/>
    <s v="Cash"/>
    <s v="FREESHIP"/>
    <n v="1"/>
    <s v="REG100840"/>
    <s v="Cust 9452"/>
    <n v="19.38"/>
    <d v="2024-01-10T00:00:00"/>
    <d v="2024-01-14T00:00:00"/>
    <s v="Sophie"/>
    <x v="24"/>
    <x v="4"/>
  </r>
  <r>
    <d v="2023-10-21T00:00:00"/>
    <x v="2"/>
    <x v="2"/>
    <n v="4"/>
    <n v="390.3"/>
    <s v="Store A"/>
    <s v="Retail"/>
    <n v="0.15"/>
    <x v="4"/>
    <n v="1327.02"/>
    <s v="Debit Card"/>
    <m/>
    <n v="0"/>
    <s v="REG100841"/>
    <s v="Cust 4558"/>
    <n v="43.56"/>
    <d v="2023-10-21T00:00:00"/>
    <d v="2023-10-26T00:00:00"/>
    <s v="Ryan"/>
    <x v="19"/>
    <x v="14"/>
  </r>
  <r>
    <d v="2025-01-20T00:00:00"/>
    <x v="2"/>
    <x v="1"/>
    <n v="7"/>
    <n v="61.83"/>
    <s v="Store B"/>
    <s v="Retail"/>
    <n v="0"/>
    <x v="4"/>
    <n v="432.81"/>
    <s v="Online"/>
    <s v="WINTER15"/>
    <n v="0"/>
    <s v="REG100842"/>
    <s v="Cust 8811"/>
    <n v="25.49"/>
    <d v="2025-01-20T00:00:00"/>
    <d v="2025-01-22T00:00:00"/>
    <s v="Ryan"/>
    <x v="12"/>
    <x v="3"/>
  </r>
  <r>
    <d v="2024-11-09T00:00:00"/>
    <x v="4"/>
    <x v="4"/>
    <n v="7"/>
    <n v="83.32"/>
    <s v="Store D"/>
    <s v="Wholesale"/>
    <n v="0.05"/>
    <x v="3"/>
    <n v="554.07799999999997"/>
    <s v="Cash"/>
    <s v="FREESHIP"/>
    <n v="0"/>
    <s v="REG100843"/>
    <s v="Cust 7788"/>
    <n v="23.4"/>
    <d v="2024-11-09T00:00:00"/>
    <d v="2024-11-17T00:00:00"/>
    <s v="Wendy"/>
    <x v="20"/>
    <x v="1"/>
  </r>
  <r>
    <d v="2024-04-03T00:00:00"/>
    <x v="4"/>
    <x v="4"/>
    <n v="4"/>
    <n v="563.05999999999995"/>
    <s v="Store D"/>
    <s v="Retail"/>
    <n v="0.05"/>
    <x v="5"/>
    <n v="2139.6280000000002"/>
    <s v="Cash"/>
    <s v="WINTER15"/>
    <n v="0"/>
    <s v="REG100844"/>
    <s v="Cust 2788"/>
    <n v="19.5"/>
    <d v="2024-04-03T00:00:00"/>
    <d v="2024-04-07T00:00:00"/>
    <s v="Wendy"/>
    <x v="9"/>
    <x v="7"/>
  </r>
  <r>
    <d v="2024-01-06T00:00:00"/>
    <x v="2"/>
    <x v="1"/>
    <n v="13"/>
    <n v="256.35000000000002"/>
    <s v="Store D"/>
    <s v="Wholesale"/>
    <n v="0.15"/>
    <x v="1"/>
    <n v="2832.6675"/>
    <s v="Cash"/>
    <s v="SAVE10"/>
    <n v="0"/>
    <s v="REG100845"/>
    <s v="Cust 6621"/>
    <n v="26.04"/>
    <d v="2024-01-06T00:00:00"/>
    <d v="2024-01-08T00:00:00"/>
    <s v="Ryan"/>
    <x v="24"/>
    <x v="4"/>
  </r>
  <r>
    <d v="2023-08-02T00:00:00"/>
    <x v="3"/>
    <x v="6"/>
    <n v="9"/>
    <n v="303.26"/>
    <s v="Store A"/>
    <s v="Wholesale"/>
    <n v="0.05"/>
    <x v="4"/>
    <n v="2592.873"/>
    <s v="Debit Card"/>
    <s v="FREESHIP"/>
    <n v="0"/>
    <s v="REG100846"/>
    <s v="Cust 8575"/>
    <n v="17.010000000000002"/>
    <d v="2023-08-02T00:00:00"/>
    <d v="2023-08-05T00:00:00"/>
    <s v="Cameron"/>
    <x v="18"/>
    <x v="9"/>
  </r>
  <r>
    <d v="2023-11-26T00:00:00"/>
    <x v="2"/>
    <x v="3"/>
    <n v="9"/>
    <n v="440.48"/>
    <s v="Store A"/>
    <s v="Retail"/>
    <n v="0.15"/>
    <x v="4"/>
    <n v="3369.672"/>
    <s v="Gift Card"/>
    <s v="WINTER15"/>
    <n v="0"/>
    <s v="REG100847"/>
    <s v="Cust 8799"/>
    <n v="32.94"/>
    <d v="2023-11-26T00:00:00"/>
    <d v="2023-12-01T00:00:00"/>
    <s v="Ryan"/>
    <x v="15"/>
    <x v="12"/>
  </r>
  <r>
    <d v="2025-04-20T00:00:00"/>
    <x v="0"/>
    <x v="2"/>
    <n v="17"/>
    <n v="469.25"/>
    <s v="Store B"/>
    <s v="Wholesale"/>
    <n v="0.05"/>
    <x v="5"/>
    <n v="7578.3874999999998"/>
    <s v="Credit Card"/>
    <m/>
    <n v="0"/>
    <s v="REG100848"/>
    <s v="Cust 1699"/>
    <n v="45.76"/>
    <d v="2025-04-20T00:00:00"/>
    <d v="2025-04-26T00:00:00"/>
    <s v="Eric"/>
    <x v="28"/>
    <x v="6"/>
  </r>
  <r>
    <d v="2023-12-29T00:00:00"/>
    <x v="1"/>
    <x v="3"/>
    <n v="18"/>
    <n v="491.76"/>
    <s v="Store A"/>
    <s v="Wholesale"/>
    <n v="0.15"/>
    <x v="0"/>
    <n v="7523.9279999999999"/>
    <s v="Credit Card"/>
    <s v="SAVE10"/>
    <n v="0"/>
    <s v="REG100849"/>
    <s v="Cust 5606"/>
    <n v="37.49"/>
    <d v="2023-12-29T00:00:00"/>
    <d v="2024-01-05T00:00:00"/>
    <s v="Sophie"/>
    <x v="27"/>
    <x v="12"/>
  </r>
  <r>
    <d v="2025-01-08T00:00:00"/>
    <x v="3"/>
    <x v="3"/>
    <n v="19"/>
    <n v="465.27"/>
    <s v="Store C"/>
    <s v="Retail"/>
    <n v="0.05"/>
    <x v="4"/>
    <n v="8398.1234999999997"/>
    <s v="Credit Card"/>
    <m/>
    <n v="0"/>
    <s v="REG100850"/>
    <s v="Cust 4933"/>
    <n v="44.95"/>
    <d v="2025-01-08T00:00:00"/>
    <d v="2025-01-10T00:00:00"/>
    <s v="Cameron"/>
    <x v="12"/>
    <x v="3"/>
  </r>
  <r>
    <d v="2024-05-06T00:00:00"/>
    <x v="0"/>
    <x v="3"/>
    <n v="18"/>
    <n v="343.68"/>
    <s v="Store B"/>
    <s v="Retail"/>
    <n v="0"/>
    <x v="0"/>
    <n v="6186.24"/>
    <s v="Gift Card"/>
    <s v="SAVE10"/>
    <n v="0"/>
    <s v="REG100851"/>
    <s v="Cust 9517"/>
    <n v="20.37"/>
    <d v="2024-05-06T00:00:00"/>
    <d v="2024-05-14T00:00:00"/>
    <s v="Eric"/>
    <x v="14"/>
    <x v="11"/>
  </r>
  <r>
    <d v="2024-09-15T00:00:00"/>
    <x v="2"/>
    <x v="2"/>
    <n v="14"/>
    <n v="472.51"/>
    <s v="Store D"/>
    <s v="Wholesale"/>
    <n v="0.05"/>
    <x v="5"/>
    <n v="6284.3829999999989"/>
    <s v="Gift Card"/>
    <m/>
    <n v="0"/>
    <s v="REG100852"/>
    <s v="Cust 6740"/>
    <n v="13.54"/>
    <d v="2024-09-15T00:00:00"/>
    <d v="2024-09-20T00:00:00"/>
    <s v="Ryan"/>
    <x v="26"/>
    <x v="5"/>
  </r>
  <r>
    <d v="2023-02-07T00:00:00"/>
    <x v="4"/>
    <x v="0"/>
    <n v="20"/>
    <n v="142.52000000000001"/>
    <s v="Store A"/>
    <s v="Retail"/>
    <n v="0.1"/>
    <x v="0"/>
    <n v="2565.36"/>
    <s v="Cash"/>
    <s v="FREESHIP"/>
    <n v="0"/>
    <s v="REG100853"/>
    <s v="Cust 1301"/>
    <n v="30.67"/>
    <d v="2023-02-07T00:00:00"/>
    <d v="2023-02-12T00:00:00"/>
    <s v="Wendy"/>
    <x v="0"/>
    <x v="0"/>
  </r>
  <r>
    <d v="2023-03-01T00:00:00"/>
    <x v="0"/>
    <x v="1"/>
    <n v="1"/>
    <n v="31.42"/>
    <s v="Store B"/>
    <s v="Retail"/>
    <n v="0.05"/>
    <x v="5"/>
    <n v="29.849"/>
    <s v="Credit Card"/>
    <s v="SAVE10"/>
    <n v="0"/>
    <s v="REG100854"/>
    <s v="Cust 1736"/>
    <n v="11.35"/>
    <d v="2023-03-01T00:00:00"/>
    <d v="2023-03-09T00:00:00"/>
    <s v="Eric"/>
    <x v="17"/>
    <x v="0"/>
  </r>
  <r>
    <d v="2024-05-08T00:00:00"/>
    <x v="2"/>
    <x v="5"/>
    <n v="17"/>
    <n v="572.29"/>
    <s v="Store D"/>
    <s v="Retail"/>
    <n v="0.15"/>
    <x v="0"/>
    <n v="8269.5905000000002"/>
    <s v="Online"/>
    <s v="SAVE10"/>
    <n v="1"/>
    <s v="REG100855"/>
    <s v="Cust 6864"/>
    <n v="44.99"/>
    <d v="2024-05-08T00:00:00"/>
    <d v="2024-05-12T00:00:00"/>
    <s v="Ryan"/>
    <x v="14"/>
    <x v="11"/>
  </r>
  <r>
    <d v="2024-06-06T00:00:00"/>
    <x v="0"/>
    <x v="2"/>
    <n v="18"/>
    <n v="333.6"/>
    <s v="Store A"/>
    <s v="Retail"/>
    <n v="0.1"/>
    <x v="3"/>
    <n v="5404.3200000000006"/>
    <s v="Debit Card"/>
    <s v="FREESHIP"/>
    <n v="1"/>
    <s v="REG100856"/>
    <s v="Cust 5207"/>
    <n v="33.79"/>
    <d v="2024-06-06T00:00:00"/>
    <d v="2024-06-08T00:00:00"/>
    <s v="Eric"/>
    <x v="23"/>
    <x v="11"/>
  </r>
  <r>
    <d v="2023-04-29T00:00:00"/>
    <x v="2"/>
    <x v="3"/>
    <n v="9"/>
    <n v="90.87"/>
    <s v="Store D"/>
    <s v="Retail"/>
    <n v="0.15"/>
    <x v="3"/>
    <n v="695.15549999999996"/>
    <s v="Debit Card"/>
    <s v="WINTER15"/>
    <n v="0"/>
    <s v="REG100857"/>
    <s v="Cust 6525"/>
    <n v="26.56"/>
    <d v="2023-04-29T00:00:00"/>
    <d v="2023-05-08T00:00:00"/>
    <s v="Ryan"/>
    <x v="21"/>
    <x v="13"/>
  </r>
  <r>
    <d v="2023-09-20T00:00:00"/>
    <x v="3"/>
    <x v="5"/>
    <n v="9"/>
    <n v="588.59"/>
    <s v="Store D"/>
    <s v="Wholesale"/>
    <n v="0.05"/>
    <x v="4"/>
    <n v="5032.4445000000014"/>
    <s v="Online"/>
    <m/>
    <n v="0"/>
    <s v="REG100858"/>
    <s v="Cust 8298"/>
    <n v="42.3"/>
    <d v="2023-09-20T00:00:00"/>
    <d v="2023-09-22T00:00:00"/>
    <s v="Cameron"/>
    <x v="22"/>
    <x v="14"/>
  </r>
  <r>
    <d v="2024-11-08T00:00:00"/>
    <x v="1"/>
    <x v="3"/>
    <n v="18"/>
    <n v="153.28"/>
    <s v="Store B"/>
    <s v="Retail"/>
    <n v="0.05"/>
    <x v="2"/>
    <n v="2621.0880000000002"/>
    <s v="Online"/>
    <s v="WINTER15"/>
    <n v="1"/>
    <s v="REG100859"/>
    <s v="Cust 8204"/>
    <n v="33.71"/>
    <d v="2024-11-08T00:00:00"/>
    <d v="2024-11-13T00:00:00"/>
    <s v="Sophie"/>
    <x v="20"/>
    <x v="1"/>
  </r>
  <r>
    <d v="2023-03-22T00:00:00"/>
    <x v="2"/>
    <x v="6"/>
    <n v="17"/>
    <n v="194.97"/>
    <s v="Store A"/>
    <s v="Retail"/>
    <n v="0.15"/>
    <x v="3"/>
    <n v="2817.3164999999999"/>
    <s v="Gift Card"/>
    <s v="SAVE10"/>
    <n v="1"/>
    <s v="REG100860"/>
    <s v="Cust 4035"/>
    <n v="5.59"/>
    <d v="2023-03-22T00:00:00"/>
    <d v="2023-03-30T00:00:00"/>
    <s v="Ryan"/>
    <x v="17"/>
    <x v="13"/>
  </r>
  <r>
    <d v="2023-09-05T00:00:00"/>
    <x v="0"/>
    <x v="4"/>
    <n v="5"/>
    <n v="367.61"/>
    <s v="Store C"/>
    <s v="Retail"/>
    <n v="0"/>
    <x v="1"/>
    <n v="1838.05"/>
    <s v="Credit Card"/>
    <s v="SAVE10"/>
    <n v="0"/>
    <s v="REG100861"/>
    <s v="Cust 1654"/>
    <n v="19.55"/>
    <d v="2023-09-05T00:00:00"/>
    <d v="2023-09-13T00:00:00"/>
    <s v="Eric"/>
    <x v="22"/>
    <x v="14"/>
  </r>
  <r>
    <d v="2023-02-26T00:00:00"/>
    <x v="0"/>
    <x v="0"/>
    <n v="17"/>
    <n v="575.5"/>
    <s v="Store D"/>
    <s v="Retail"/>
    <n v="0.05"/>
    <x v="1"/>
    <n v="9294.3249999999989"/>
    <s v="Debit Card"/>
    <s v="FREESHIP"/>
    <n v="0"/>
    <s v="REG100862"/>
    <s v="Cust 1823"/>
    <n v="13.42"/>
    <d v="2023-02-26T00:00:00"/>
    <d v="2023-03-05T00:00:00"/>
    <s v="Eric"/>
    <x v="0"/>
    <x v="0"/>
  </r>
  <r>
    <d v="2024-11-26T00:00:00"/>
    <x v="4"/>
    <x v="3"/>
    <n v="3"/>
    <n v="229.45"/>
    <s v="Store D"/>
    <s v="Retail"/>
    <n v="0.15"/>
    <x v="5"/>
    <n v="585.09749999999985"/>
    <s v="Debit Card"/>
    <s v="WINTER15"/>
    <n v="1"/>
    <s v="REG100863"/>
    <s v="Cust 1423"/>
    <n v="19.809999999999999"/>
    <d v="2024-11-26T00:00:00"/>
    <d v="2024-11-29T00:00:00"/>
    <s v="Wendy"/>
    <x v="20"/>
    <x v="1"/>
  </r>
  <r>
    <d v="2024-10-14T00:00:00"/>
    <x v="3"/>
    <x v="3"/>
    <n v="3"/>
    <n v="391.63"/>
    <s v="Store C"/>
    <s v="Retail"/>
    <n v="0"/>
    <x v="2"/>
    <n v="1174.8900000000001"/>
    <s v="Debit Card"/>
    <m/>
    <n v="1"/>
    <s v="REG100864"/>
    <s v="Cust 7282"/>
    <n v="25.36"/>
    <d v="2024-10-14T00:00:00"/>
    <d v="2024-10-17T00:00:00"/>
    <s v="Cameron"/>
    <x v="7"/>
    <x v="5"/>
  </r>
  <r>
    <d v="2023-05-29T00:00:00"/>
    <x v="3"/>
    <x v="0"/>
    <n v="15"/>
    <n v="67.349999999999994"/>
    <s v="Store D"/>
    <s v="Wholesale"/>
    <n v="0.1"/>
    <x v="4"/>
    <n v="909.22499999999991"/>
    <s v="Online"/>
    <s v="FREESHIP"/>
    <n v="0"/>
    <s v="REG100865"/>
    <s v="Cust 8437"/>
    <n v="24.85"/>
    <d v="2023-05-29T00:00:00"/>
    <d v="2023-06-03T00:00:00"/>
    <s v="Cameron"/>
    <x v="2"/>
    <x v="2"/>
  </r>
  <r>
    <d v="2024-03-22T00:00:00"/>
    <x v="3"/>
    <x v="0"/>
    <n v="6"/>
    <n v="453.86"/>
    <s v="Store B"/>
    <s v="Retail"/>
    <n v="0.15"/>
    <x v="1"/>
    <n v="2314.6860000000001"/>
    <s v="Credit Card"/>
    <m/>
    <n v="0"/>
    <s v="REG100866"/>
    <s v="Cust 9508"/>
    <n v="45.32"/>
    <d v="2024-03-22T00:00:00"/>
    <d v="2024-03-31T00:00:00"/>
    <s v="Cameron"/>
    <x v="25"/>
    <x v="7"/>
  </r>
  <r>
    <d v="2023-04-22T00:00:00"/>
    <x v="1"/>
    <x v="5"/>
    <n v="19"/>
    <n v="537.70000000000005"/>
    <s v="Store D"/>
    <s v="Wholesale"/>
    <n v="0"/>
    <x v="5"/>
    <n v="10216.299999999999"/>
    <s v="Online"/>
    <s v="SAVE10"/>
    <n v="0"/>
    <s v="REG100867"/>
    <s v="Cust 1186"/>
    <n v="45.83"/>
    <d v="2023-04-22T00:00:00"/>
    <d v="2023-05-02T00:00:00"/>
    <s v="Sophie"/>
    <x v="21"/>
    <x v="13"/>
  </r>
  <r>
    <d v="2025-06-06T00:00:00"/>
    <x v="2"/>
    <x v="1"/>
    <n v="5"/>
    <n v="32.56"/>
    <s v="Store C"/>
    <s v="Retail"/>
    <n v="0.05"/>
    <x v="4"/>
    <n v="154.66"/>
    <s v="Cash"/>
    <s v="FREESHIP"/>
    <n v="0"/>
    <s v="REG100868"/>
    <s v="Cust 4362"/>
    <n v="46.73"/>
    <d v="2025-06-06T00:00:00"/>
    <d v="2025-06-12T00:00:00"/>
    <s v="Ryan"/>
    <x v="16"/>
    <x v="10"/>
  </r>
  <r>
    <d v="2023-01-25T00:00:00"/>
    <x v="3"/>
    <x v="0"/>
    <n v="2"/>
    <n v="196.7"/>
    <s v="Store A"/>
    <s v="Retail"/>
    <n v="0"/>
    <x v="2"/>
    <n v="393.4"/>
    <s v="Online"/>
    <s v="FREESHIP"/>
    <n v="0"/>
    <s v="REG100869"/>
    <s v="Cust 9388"/>
    <n v="35.840000000000003"/>
    <d v="2023-01-25T00:00:00"/>
    <d v="2023-01-29T00:00:00"/>
    <s v="Cameron"/>
    <x v="6"/>
    <x v="0"/>
  </r>
  <r>
    <d v="2023-09-08T00:00:00"/>
    <x v="1"/>
    <x v="1"/>
    <n v="12"/>
    <n v="369.45"/>
    <s v="Store D"/>
    <s v="Wholesale"/>
    <n v="0.1"/>
    <x v="2"/>
    <n v="3990.06"/>
    <s v="Credit Card"/>
    <s v="WINTER15"/>
    <n v="1"/>
    <s v="REG100870"/>
    <s v="Cust 4015"/>
    <n v="44.76"/>
    <d v="2023-09-08T00:00:00"/>
    <d v="2023-09-10T00:00:00"/>
    <s v="Sophie"/>
    <x v="22"/>
    <x v="14"/>
  </r>
  <r>
    <d v="2024-10-04T00:00:00"/>
    <x v="0"/>
    <x v="5"/>
    <n v="12"/>
    <n v="181.96"/>
    <s v="Store D"/>
    <s v="Retail"/>
    <n v="0.15"/>
    <x v="0"/>
    <n v="1855.992"/>
    <s v="Gift Card"/>
    <s v="WINTER15"/>
    <n v="0"/>
    <s v="REG100871"/>
    <s v="Cust 6428"/>
    <n v="25.06"/>
    <d v="2024-10-04T00:00:00"/>
    <d v="2024-10-11T00:00:00"/>
    <s v="Eric"/>
    <x v="7"/>
    <x v="5"/>
  </r>
  <r>
    <d v="2025-04-06T00:00:00"/>
    <x v="0"/>
    <x v="2"/>
    <n v="3"/>
    <n v="32.07"/>
    <s v="Store D"/>
    <s v="Retail"/>
    <n v="0.15"/>
    <x v="1"/>
    <n v="81.778500000000008"/>
    <s v="Online"/>
    <s v="WINTER15"/>
    <n v="1"/>
    <s v="REG100872"/>
    <s v="Cust 2570"/>
    <n v="43.18"/>
    <d v="2025-04-06T00:00:00"/>
    <d v="2025-04-08T00:00:00"/>
    <s v="Eric"/>
    <x v="28"/>
    <x v="6"/>
  </r>
  <r>
    <d v="2024-08-25T00:00:00"/>
    <x v="0"/>
    <x v="0"/>
    <n v="15"/>
    <n v="39.93"/>
    <s v="Store A"/>
    <s v="Retail"/>
    <n v="0.15"/>
    <x v="4"/>
    <n v="509.10750000000002"/>
    <s v="Debit Card"/>
    <s v="WINTER15"/>
    <n v="0"/>
    <s v="REG100873"/>
    <s v="Cust 5132"/>
    <n v="33.44"/>
    <d v="2024-08-25T00:00:00"/>
    <d v="2024-08-29T00:00:00"/>
    <s v="Eric"/>
    <x v="29"/>
    <x v="8"/>
  </r>
  <r>
    <d v="2024-03-06T00:00:00"/>
    <x v="2"/>
    <x v="1"/>
    <n v="7"/>
    <n v="374.43"/>
    <s v="Store A"/>
    <s v="Retail"/>
    <n v="0.15"/>
    <x v="3"/>
    <n v="2227.8584999999998"/>
    <s v="Cash"/>
    <s v="SAVE10"/>
    <n v="0"/>
    <s v="REG100874"/>
    <s v="Cust 4929"/>
    <n v="28.97"/>
    <d v="2024-03-06T00:00:00"/>
    <d v="2024-03-12T00:00:00"/>
    <s v="Ryan"/>
    <x v="25"/>
    <x v="7"/>
  </r>
  <r>
    <d v="2023-03-23T00:00:00"/>
    <x v="0"/>
    <x v="6"/>
    <n v="2"/>
    <n v="101.87"/>
    <s v="Store C"/>
    <s v="Wholesale"/>
    <n v="0"/>
    <x v="4"/>
    <n v="203.74"/>
    <s v="Cash"/>
    <s v="FREESHIP"/>
    <n v="0"/>
    <s v="REG100875"/>
    <s v="Cust 4018"/>
    <n v="28.63"/>
    <d v="2023-03-23T00:00:00"/>
    <d v="2023-03-26T00:00:00"/>
    <s v="Eric"/>
    <x v="17"/>
    <x v="13"/>
  </r>
  <r>
    <d v="2024-01-13T00:00:00"/>
    <x v="3"/>
    <x v="5"/>
    <n v="13"/>
    <n v="343.45"/>
    <s v="Store D"/>
    <s v="Wholesale"/>
    <n v="0.05"/>
    <x v="1"/>
    <n v="4241.6074999999992"/>
    <s v="Gift Card"/>
    <s v="SAVE10"/>
    <n v="0"/>
    <s v="REG100876"/>
    <s v="Cust 8069"/>
    <n v="27.26"/>
    <d v="2024-01-13T00:00:00"/>
    <d v="2024-01-17T00:00:00"/>
    <s v="Cameron"/>
    <x v="24"/>
    <x v="4"/>
  </r>
  <r>
    <d v="2023-07-18T00:00:00"/>
    <x v="3"/>
    <x v="6"/>
    <n v="15"/>
    <n v="144.11000000000001"/>
    <s v="Store C"/>
    <s v="Retail"/>
    <n v="0"/>
    <x v="2"/>
    <n v="2161.65"/>
    <s v="Gift Card"/>
    <m/>
    <n v="0"/>
    <s v="REG100877"/>
    <s v="Cust 6741"/>
    <n v="28.51"/>
    <d v="2023-07-18T00:00:00"/>
    <d v="2023-07-24T00:00:00"/>
    <s v="Cameron"/>
    <x v="11"/>
    <x v="9"/>
  </r>
  <r>
    <d v="2025-02-23T00:00:00"/>
    <x v="4"/>
    <x v="3"/>
    <n v="18"/>
    <n v="403.68"/>
    <s v="Store A"/>
    <s v="Retail"/>
    <n v="0.15"/>
    <x v="3"/>
    <n v="6176.3040000000001"/>
    <s v="Cash"/>
    <s v="FREESHIP"/>
    <n v="0"/>
    <s v="REG100878"/>
    <s v="Cust 8050"/>
    <n v="13.09"/>
    <d v="2025-02-23T00:00:00"/>
    <d v="2025-03-04T00:00:00"/>
    <s v="Wendy"/>
    <x v="3"/>
    <x v="3"/>
  </r>
  <r>
    <d v="2023-02-22T00:00:00"/>
    <x v="0"/>
    <x v="6"/>
    <n v="14"/>
    <n v="346.57"/>
    <s v="Store B"/>
    <s v="Retail"/>
    <n v="0.1"/>
    <x v="3"/>
    <n v="4366.7820000000002"/>
    <s v="Debit Card"/>
    <s v="FREESHIP"/>
    <n v="0"/>
    <s v="REG100879"/>
    <s v="Cust 2434"/>
    <n v="36.83"/>
    <d v="2023-02-22T00:00:00"/>
    <d v="2023-03-02T00:00:00"/>
    <s v="Eric"/>
    <x v="0"/>
    <x v="0"/>
  </r>
  <r>
    <d v="2024-10-18T00:00:00"/>
    <x v="2"/>
    <x v="6"/>
    <n v="7"/>
    <n v="392.79"/>
    <s v="Store C"/>
    <s v="Wholesale"/>
    <n v="0"/>
    <x v="0"/>
    <n v="2749.53"/>
    <s v="Gift Card"/>
    <s v="WINTER15"/>
    <n v="0"/>
    <s v="REG100880"/>
    <s v="Cust 9089"/>
    <n v="45.85"/>
    <d v="2024-10-18T00:00:00"/>
    <d v="2024-10-28T00:00:00"/>
    <s v="Ryan"/>
    <x v="7"/>
    <x v="5"/>
  </r>
  <r>
    <d v="2023-10-26T00:00:00"/>
    <x v="4"/>
    <x v="6"/>
    <n v="16"/>
    <n v="70.83"/>
    <s v="Store B"/>
    <s v="Wholesale"/>
    <n v="0.05"/>
    <x v="3"/>
    <n v="1076.616"/>
    <s v="Gift Card"/>
    <m/>
    <n v="0"/>
    <s v="REG100881"/>
    <s v="Cust 1091"/>
    <n v="5.05"/>
    <d v="2023-10-26T00:00:00"/>
    <d v="2023-10-31T00:00:00"/>
    <s v="Wendy"/>
    <x v="19"/>
    <x v="14"/>
  </r>
  <r>
    <d v="2023-01-10T00:00:00"/>
    <x v="3"/>
    <x v="4"/>
    <n v="20"/>
    <n v="274.37"/>
    <s v="Store B"/>
    <s v="Retail"/>
    <n v="0.1"/>
    <x v="0"/>
    <n v="4938.66"/>
    <s v="Gift Card"/>
    <s v="WINTER15"/>
    <n v="0"/>
    <s v="REG100882"/>
    <s v="Cust 6138"/>
    <n v="12.28"/>
    <d v="2023-01-10T00:00:00"/>
    <d v="2023-01-14T00:00:00"/>
    <s v="Cameron"/>
    <x v="6"/>
    <x v="0"/>
  </r>
  <r>
    <d v="2024-03-19T00:00:00"/>
    <x v="3"/>
    <x v="2"/>
    <n v="10"/>
    <n v="19.73"/>
    <s v="Store D"/>
    <s v="Retail"/>
    <n v="0.1"/>
    <x v="3"/>
    <n v="177.57"/>
    <s v="Debit Card"/>
    <m/>
    <n v="0"/>
    <s v="REG100883"/>
    <s v="Cust 6326"/>
    <n v="16.059999999999999"/>
    <d v="2024-03-19T00:00:00"/>
    <d v="2024-03-22T00:00:00"/>
    <s v="Cameron"/>
    <x v="25"/>
    <x v="7"/>
  </r>
  <r>
    <d v="2023-12-20T00:00:00"/>
    <x v="3"/>
    <x v="6"/>
    <n v="10"/>
    <n v="465.72"/>
    <s v="Store B"/>
    <s v="Wholesale"/>
    <n v="0.05"/>
    <x v="1"/>
    <n v="4424.34"/>
    <s v="Online"/>
    <s v="FREESHIP"/>
    <n v="0"/>
    <s v="REG100884"/>
    <s v="Cust 1327"/>
    <n v="28.14"/>
    <d v="2023-12-20T00:00:00"/>
    <d v="2023-12-26T00:00:00"/>
    <s v="Cameron"/>
    <x v="27"/>
    <x v="12"/>
  </r>
  <r>
    <d v="2024-12-09T00:00:00"/>
    <x v="3"/>
    <x v="4"/>
    <n v="19"/>
    <n v="62.07"/>
    <s v="Store D"/>
    <s v="Retail"/>
    <n v="0.1"/>
    <x v="4"/>
    <n v="1061.3969999999999"/>
    <s v="Debit Card"/>
    <s v="FREESHIP"/>
    <n v="0"/>
    <s v="REG100885"/>
    <s v="Cust 8602"/>
    <n v="14.85"/>
    <d v="2024-12-09T00:00:00"/>
    <d v="2024-12-19T00:00:00"/>
    <s v="Cameron"/>
    <x v="1"/>
    <x v="1"/>
  </r>
  <r>
    <d v="2023-05-10T00:00:00"/>
    <x v="3"/>
    <x v="5"/>
    <n v="11"/>
    <n v="529.20000000000005"/>
    <s v="Store A"/>
    <s v="Wholesale"/>
    <n v="0.05"/>
    <x v="5"/>
    <n v="5530.14"/>
    <s v="Credit Card"/>
    <m/>
    <n v="1"/>
    <s v="REG100886"/>
    <s v="Cust 9131"/>
    <n v="16.78"/>
    <d v="2023-05-10T00:00:00"/>
    <d v="2023-05-20T00:00:00"/>
    <s v="Cameron"/>
    <x v="2"/>
    <x v="2"/>
  </r>
  <r>
    <d v="2023-10-18T00:00:00"/>
    <x v="1"/>
    <x v="4"/>
    <n v="7"/>
    <n v="387.31"/>
    <s v="Store A"/>
    <s v="Retail"/>
    <n v="0.1"/>
    <x v="5"/>
    <n v="2440.0529999999999"/>
    <s v="Cash"/>
    <s v="WINTER15"/>
    <n v="0"/>
    <s v="REG100887"/>
    <s v="Cust 6716"/>
    <n v="14.76"/>
    <d v="2023-10-18T00:00:00"/>
    <d v="2023-10-21T00:00:00"/>
    <s v="Sophie"/>
    <x v="19"/>
    <x v="14"/>
  </r>
  <r>
    <d v="2024-12-03T00:00:00"/>
    <x v="1"/>
    <x v="1"/>
    <n v="1"/>
    <n v="152.75"/>
    <s v="Store A"/>
    <s v="Wholesale"/>
    <n v="0"/>
    <x v="5"/>
    <n v="152.75"/>
    <s v="Credit Card"/>
    <s v="FREESHIP"/>
    <n v="1"/>
    <s v="REG100888"/>
    <s v="Cust 2071"/>
    <n v="9.61"/>
    <d v="2024-12-03T00:00:00"/>
    <d v="2024-12-06T00:00:00"/>
    <s v="Sophie"/>
    <x v="1"/>
    <x v="1"/>
  </r>
  <r>
    <d v="2024-10-10T00:00:00"/>
    <x v="1"/>
    <x v="3"/>
    <n v="8"/>
    <n v="72.48"/>
    <s v="Store A"/>
    <s v="Wholesale"/>
    <n v="0.1"/>
    <x v="3"/>
    <n v="521.85599999999999"/>
    <s v="Debit Card"/>
    <m/>
    <n v="1"/>
    <s v="REG100889"/>
    <s v="Cust 4472"/>
    <n v="26.92"/>
    <d v="2024-10-10T00:00:00"/>
    <d v="2024-10-17T00:00:00"/>
    <s v="Sophie"/>
    <x v="7"/>
    <x v="5"/>
  </r>
  <r>
    <d v="2024-06-03T00:00:00"/>
    <x v="0"/>
    <x v="1"/>
    <n v="4"/>
    <n v="194.09"/>
    <s v="Store D"/>
    <s v="Wholesale"/>
    <n v="0.1"/>
    <x v="0"/>
    <n v="698.72400000000005"/>
    <s v="Credit Card"/>
    <s v="WINTER15"/>
    <n v="0"/>
    <s v="REG100890"/>
    <s v="Cust 3899"/>
    <n v="26.35"/>
    <d v="2024-06-03T00:00:00"/>
    <d v="2024-06-07T00:00:00"/>
    <s v="Eric"/>
    <x v="23"/>
    <x v="11"/>
  </r>
  <r>
    <d v="2025-03-26T00:00:00"/>
    <x v="1"/>
    <x v="1"/>
    <n v="3"/>
    <n v="159.30000000000001"/>
    <s v="Store B"/>
    <s v="Wholesale"/>
    <n v="0.05"/>
    <x v="0"/>
    <n v="454.005"/>
    <s v="Credit Card"/>
    <s v="SAVE10"/>
    <n v="1"/>
    <s v="REG100891"/>
    <s v="Cust 9467"/>
    <n v="45.34"/>
    <d v="2025-03-26T00:00:00"/>
    <d v="2025-03-29T00:00:00"/>
    <s v="Sophie"/>
    <x v="8"/>
    <x v="6"/>
  </r>
  <r>
    <d v="2024-04-26T00:00:00"/>
    <x v="2"/>
    <x v="4"/>
    <n v="4"/>
    <n v="303.37"/>
    <s v="Store A"/>
    <s v="Retail"/>
    <n v="0.1"/>
    <x v="3"/>
    <n v="1092.1320000000001"/>
    <s v="Gift Card"/>
    <s v="WINTER15"/>
    <n v="0"/>
    <s v="REG100892"/>
    <s v="Cust 3824"/>
    <n v="30.19"/>
    <d v="2024-04-26T00:00:00"/>
    <d v="2024-05-01T00:00:00"/>
    <s v="Ryan"/>
    <x v="9"/>
    <x v="7"/>
  </r>
  <r>
    <d v="2023-05-05T00:00:00"/>
    <x v="4"/>
    <x v="3"/>
    <n v="16"/>
    <n v="541.96"/>
    <s v="Store C"/>
    <s v="Retail"/>
    <n v="0.1"/>
    <x v="0"/>
    <n v="7804.2240000000011"/>
    <s v="Cash"/>
    <s v="SAVE10"/>
    <n v="1"/>
    <s v="REG100893"/>
    <s v="Cust 3511"/>
    <n v="9.93"/>
    <d v="2023-05-05T00:00:00"/>
    <d v="2023-05-13T00:00:00"/>
    <s v="Wendy"/>
    <x v="2"/>
    <x v="2"/>
  </r>
  <r>
    <d v="2023-09-23T00:00:00"/>
    <x v="4"/>
    <x v="2"/>
    <n v="7"/>
    <n v="41.57"/>
    <s v="Store D"/>
    <s v="Retail"/>
    <n v="0"/>
    <x v="3"/>
    <n v="290.99"/>
    <s v="Online"/>
    <m/>
    <n v="0"/>
    <s v="REG100894"/>
    <s v="Cust 3356"/>
    <n v="16.59"/>
    <d v="2023-09-23T00:00:00"/>
    <d v="2023-09-29T00:00:00"/>
    <s v="Wendy"/>
    <x v="22"/>
    <x v="14"/>
  </r>
  <r>
    <d v="2025-03-08T00:00:00"/>
    <x v="1"/>
    <x v="4"/>
    <n v="16"/>
    <n v="217.74"/>
    <s v="Store A"/>
    <s v="Wholesale"/>
    <n v="0.15"/>
    <x v="2"/>
    <n v="2961.2640000000001"/>
    <s v="Cash"/>
    <s v="FREESHIP"/>
    <n v="1"/>
    <s v="REG100895"/>
    <s v="Cust 2840"/>
    <n v="25.11"/>
    <d v="2025-03-08T00:00:00"/>
    <d v="2025-03-15T00:00:00"/>
    <s v="Sophie"/>
    <x v="8"/>
    <x v="6"/>
  </r>
  <r>
    <d v="2023-01-17T00:00:00"/>
    <x v="2"/>
    <x v="6"/>
    <n v="15"/>
    <n v="19.170000000000002"/>
    <s v="Store A"/>
    <s v="Wholesale"/>
    <n v="0"/>
    <x v="3"/>
    <n v="287.55"/>
    <s v="Gift Card"/>
    <s v="FREESHIP"/>
    <n v="1"/>
    <s v="REG100896"/>
    <s v="Cust 3811"/>
    <n v="48.93"/>
    <d v="2023-01-17T00:00:00"/>
    <d v="2023-01-27T00:00:00"/>
    <s v="Ryan"/>
    <x v="6"/>
    <x v="0"/>
  </r>
  <r>
    <d v="2023-04-29T00:00:00"/>
    <x v="3"/>
    <x v="4"/>
    <n v="15"/>
    <n v="293.33999999999997"/>
    <s v="Store D"/>
    <s v="Retail"/>
    <n v="0.1"/>
    <x v="0"/>
    <n v="3960.09"/>
    <s v="Credit Card"/>
    <s v="WINTER15"/>
    <n v="0"/>
    <s v="REG100897"/>
    <s v="Cust 9960"/>
    <n v="21.03"/>
    <d v="2023-04-29T00:00:00"/>
    <d v="2023-05-01T00:00:00"/>
    <s v="Cameron"/>
    <x v="21"/>
    <x v="13"/>
  </r>
  <r>
    <d v="2025-02-16T00:00:00"/>
    <x v="1"/>
    <x v="6"/>
    <n v="18"/>
    <n v="204.58"/>
    <s v="Store C"/>
    <s v="Retail"/>
    <n v="0.1"/>
    <x v="4"/>
    <n v="3314.1959999999999"/>
    <s v="Cash"/>
    <m/>
    <n v="0"/>
    <s v="REG100898"/>
    <s v="Cust 5906"/>
    <n v="16.04"/>
    <d v="2025-02-16T00:00:00"/>
    <d v="2025-02-22T00:00:00"/>
    <s v="Sophie"/>
    <x v="3"/>
    <x v="3"/>
  </r>
  <r>
    <d v="2023-06-05T00:00:00"/>
    <x v="0"/>
    <x v="6"/>
    <n v="15"/>
    <n v="324.58"/>
    <s v="Store A"/>
    <s v="Retail"/>
    <n v="0.15"/>
    <x v="4"/>
    <n v="4138.3950000000004"/>
    <s v="Debit Card"/>
    <m/>
    <n v="0"/>
    <s v="REG100899"/>
    <s v="Cust 6579"/>
    <n v="24.57"/>
    <d v="2023-06-05T00:00:00"/>
    <d v="2023-06-09T00:00:00"/>
    <s v="Eric"/>
    <x v="4"/>
    <x v="2"/>
  </r>
  <r>
    <d v="2023-08-28T00:00:00"/>
    <x v="1"/>
    <x v="1"/>
    <n v="11"/>
    <n v="393.61"/>
    <s v="Store D"/>
    <s v="Wholesale"/>
    <n v="0.05"/>
    <x v="2"/>
    <n v="4113.2245000000003"/>
    <s v="Debit Card"/>
    <s v="WINTER15"/>
    <n v="0"/>
    <s v="REG100900"/>
    <s v="Cust 1756"/>
    <n v="32.57"/>
    <d v="2023-08-28T00:00:00"/>
    <d v="2023-09-06T00:00:00"/>
    <s v="Sophie"/>
    <x v="18"/>
    <x v="9"/>
  </r>
  <r>
    <d v="2023-08-01T00:00:00"/>
    <x v="2"/>
    <x v="6"/>
    <n v="8"/>
    <n v="141.28"/>
    <s v="Store D"/>
    <s v="Wholesale"/>
    <n v="0.05"/>
    <x v="2"/>
    <n v="1073.7280000000001"/>
    <s v="Online"/>
    <s v="FREESHIP"/>
    <n v="0"/>
    <s v="REG100901"/>
    <s v="Cust 8150"/>
    <n v="28.69"/>
    <d v="2023-08-01T00:00:00"/>
    <d v="2023-08-10T00:00:00"/>
    <s v="Ryan"/>
    <x v="18"/>
    <x v="9"/>
  </r>
  <r>
    <d v="2025-02-12T00:00:00"/>
    <x v="4"/>
    <x v="1"/>
    <n v="13"/>
    <n v="227.64"/>
    <s v="Store C"/>
    <s v="Retail"/>
    <n v="0.15"/>
    <x v="2"/>
    <n v="2515.422"/>
    <s v="Cash"/>
    <s v="FREESHIP"/>
    <n v="1"/>
    <s v="REG100902"/>
    <s v="Cust 8999"/>
    <n v="46.67"/>
    <d v="2025-02-12T00:00:00"/>
    <d v="2025-02-20T00:00:00"/>
    <s v="Wendy"/>
    <x v="3"/>
    <x v="3"/>
  </r>
  <r>
    <d v="2023-07-03T00:00:00"/>
    <x v="3"/>
    <x v="0"/>
    <n v="19"/>
    <n v="341.07"/>
    <s v="Store C"/>
    <s v="Retail"/>
    <n v="0.1"/>
    <x v="3"/>
    <n v="5832.2969999999996"/>
    <s v="Cash"/>
    <s v="WINTER15"/>
    <n v="0"/>
    <s v="REG100903"/>
    <s v="Cust 4277"/>
    <n v="47.75"/>
    <d v="2023-07-03T00:00:00"/>
    <d v="2023-07-06T00:00:00"/>
    <s v="Cameron"/>
    <x v="11"/>
    <x v="9"/>
  </r>
  <r>
    <d v="2025-05-09T00:00:00"/>
    <x v="3"/>
    <x v="1"/>
    <n v="20"/>
    <n v="324.55"/>
    <s v="Store B"/>
    <s v="Wholesale"/>
    <n v="0.05"/>
    <x v="0"/>
    <n v="6166.45"/>
    <s v="Credit Card"/>
    <s v="WINTER15"/>
    <n v="1"/>
    <s v="REG100904"/>
    <s v="Cust 8751"/>
    <n v="21.21"/>
    <d v="2025-05-09T00:00:00"/>
    <d v="2025-05-13T00:00:00"/>
    <s v="Cameron"/>
    <x v="13"/>
    <x v="10"/>
  </r>
  <r>
    <d v="2024-05-05T00:00:00"/>
    <x v="4"/>
    <x v="2"/>
    <n v="16"/>
    <n v="301.07"/>
    <s v="Store B"/>
    <s v="Retail"/>
    <n v="0.1"/>
    <x v="3"/>
    <n v="4335.4080000000004"/>
    <s v="Gift Card"/>
    <s v="WINTER15"/>
    <n v="0"/>
    <s v="REG100905"/>
    <s v="Cust 2482"/>
    <n v="5.58"/>
    <d v="2024-05-05T00:00:00"/>
    <d v="2024-05-14T00:00:00"/>
    <s v="Wendy"/>
    <x v="14"/>
    <x v="11"/>
  </r>
  <r>
    <d v="2024-01-08T00:00:00"/>
    <x v="1"/>
    <x v="4"/>
    <n v="13"/>
    <n v="285.27999999999997"/>
    <s v="Store D"/>
    <s v="Retail"/>
    <n v="0"/>
    <x v="0"/>
    <n v="3708.639999999999"/>
    <s v="Gift Card"/>
    <s v="SAVE10"/>
    <n v="0"/>
    <s v="REG100906"/>
    <s v="Cust 4078"/>
    <n v="31.2"/>
    <d v="2024-01-08T00:00:00"/>
    <d v="2024-01-15T00:00:00"/>
    <s v="Sophie"/>
    <x v="24"/>
    <x v="4"/>
  </r>
  <r>
    <d v="2025-01-13T00:00:00"/>
    <x v="1"/>
    <x v="1"/>
    <n v="15"/>
    <n v="18.04"/>
    <s v="Store C"/>
    <s v="Wholesale"/>
    <n v="0"/>
    <x v="0"/>
    <n v="270.60000000000002"/>
    <s v="Credit Card"/>
    <s v="SAVE10"/>
    <n v="1"/>
    <s v="REG100907"/>
    <s v="Cust 9091"/>
    <n v="14.35"/>
    <d v="2025-01-13T00:00:00"/>
    <d v="2025-01-17T00:00:00"/>
    <s v="Sophie"/>
    <x v="12"/>
    <x v="3"/>
  </r>
  <r>
    <d v="2025-06-12T00:00:00"/>
    <x v="0"/>
    <x v="6"/>
    <n v="11"/>
    <n v="495.44"/>
    <s v="Store A"/>
    <s v="Wholesale"/>
    <n v="0"/>
    <x v="5"/>
    <n v="5449.84"/>
    <s v="Gift Card"/>
    <s v="FREESHIP"/>
    <n v="0"/>
    <s v="REG100908"/>
    <s v="Cust 8706"/>
    <n v="44.77"/>
    <d v="2025-06-12T00:00:00"/>
    <d v="2025-06-18T00:00:00"/>
    <s v="Eric"/>
    <x v="16"/>
    <x v="10"/>
  </r>
  <r>
    <d v="2025-04-03T00:00:00"/>
    <x v="2"/>
    <x v="0"/>
    <n v="12"/>
    <n v="276.42"/>
    <s v="Store C"/>
    <s v="Retail"/>
    <n v="0.15"/>
    <x v="3"/>
    <n v="2819.4839999999999"/>
    <s v="Online"/>
    <m/>
    <n v="0"/>
    <s v="REG100909"/>
    <s v="Cust 5042"/>
    <n v="30.57"/>
    <d v="2025-04-03T00:00:00"/>
    <d v="2025-04-12T00:00:00"/>
    <s v="Ryan"/>
    <x v="28"/>
    <x v="6"/>
  </r>
  <r>
    <d v="2023-01-26T00:00:00"/>
    <x v="3"/>
    <x v="2"/>
    <n v="7"/>
    <n v="228.32"/>
    <s v="Store C"/>
    <s v="Wholesale"/>
    <n v="0.15"/>
    <x v="0"/>
    <n v="1358.5039999999999"/>
    <s v="Debit Card"/>
    <s v="FREESHIP"/>
    <n v="0"/>
    <s v="REG100910"/>
    <s v="Cust 3319"/>
    <n v="22.16"/>
    <d v="2023-01-26T00:00:00"/>
    <d v="2023-01-30T00:00:00"/>
    <s v="Cameron"/>
    <x v="6"/>
    <x v="0"/>
  </r>
  <r>
    <d v="2023-01-07T00:00:00"/>
    <x v="3"/>
    <x v="4"/>
    <n v="1"/>
    <n v="498.19"/>
    <s v="Store A"/>
    <s v="Wholesale"/>
    <n v="0.1"/>
    <x v="5"/>
    <n v="448.37099999999998"/>
    <s v="Gift Card"/>
    <s v="SAVE10"/>
    <n v="0"/>
    <s v="REG100911"/>
    <s v="Cust 4139"/>
    <n v="25.55"/>
    <d v="2023-01-07T00:00:00"/>
    <d v="2023-01-11T00:00:00"/>
    <s v="Cameron"/>
    <x v="6"/>
    <x v="0"/>
  </r>
  <r>
    <d v="2025-01-15T00:00:00"/>
    <x v="2"/>
    <x v="2"/>
    <n v="18"/>
    <n v="375.83"/>
    <s v="Store C"/>
    <s v="Retail"/>
    <n v="0.1"/>
    <x v="3"/>
    <n v="6088.4459999999999"/>
    <s v="Gift Card"/>
    <m/>
    <n v="0"/>
    <s v="REG100912"/>
    <s v="Cust 6993"/>
    <n v="15.13"/>
    <d v="2025-01-15T00:00:00"/>
    <d v="2025-01-23T00:00:00"/>
    <s v="Ryan"/>
    <x v="12"/>
    <x v="3"/>
  </r>
  <r>
    <d v="2024-11-30T00:00:00"/>
    <x v="0"/>
    <x v="3"/>
    <n v="18"/>
    <n v="130.36000000000001"/>
    <s v="Store B"/>
    <s v="Wholesale"/>
    <n v="0"/>
    <x v="4"/>
    <n v="2346.48"/>
    <s v="Debit Card"/>
    <s v="SAVE10"/>
    <n v="0"/>
    <s v="REG100913"/>
    <s v="Cust 8397"/>
    <n v="34.6"/>
    <d v="2024-11-30T00:00:00"/>
    <d v="2024-12-05T00:00:00"/>
    <s v="Eric"/>
    <x v="20"/>
    <x v="1"/>
  </r>
  <r>
    <d v="2024-02-26T00:00:00"/>
    <x v="0"/>
    <x v="4"/>
    <n v="13"/>
    <n v="585.88"/>
    <s v="Store B"/>
    <s v="Retail"/>
    <n v="0.15"/>
    <x v="3"/>
    <n v="6473.9739999999993"/>
    <s v="Credit Card"/>
    <s v="WINTER15"/>
    <n v="0"/>
    <s v="REG100914"/>
    <s v="Cust 3082"/>
    <n v="42.18"/>
    <d v="2024-02-26T00:00:00"/>
    <d v="2024-03-07T00:00:00"/>
    <s v="Eric"/>
    <x v="5"/>
    <x v="4"/>
  </r>
  <r>
    <d v="2025-06-11T00:00:00"/>
    <x v="2"/>
    <x v="2"/>
    <n v="19"/>
    <n v="278.04000000000002"/>
    <s v="Store B"/>
    <s v="Retail"/>
    <n v="0.05"/>
    <x v="5"/>
    <n v="5018.6220000000003"/>
    <s v="Credit Card"/>
    <s v="SAVE10"/>
    <n v="0"/>
    <s v="REG100915"/>
    <s v="Cust 1156"/>
    <n v="16.399999999999999"/>
    <d v="2025-06-11T00:00:00"/>
    <d v="2025-06-15T00:00:00"/>
    <s v="Ryan"/>
    <x v="16"/>
    <x v="10"/>
  </r>
  <r>
    <d v="2023-11-29T00:00:00"/>
    <x v="3"/>
    <x v="1"/>
    <n v="11"/>
    <n v="267.91000000000003"/>
    <s v="Store B"/>
    <s v="Retail"/>
    <n v="0"/>
    <x v="0"/>
    <n v="2947.01"/>
    <s v="Debit Card"/>
    <m/>
    <n v="0"/>
    <s v="REG100916"/>
    <s v="Cust 4720"/>
    <n v="12.05"/>
    <d v="2023-11-29T00:00:00"/>
    <d v="2023-12-04T00:00:00"/>
    <s v="Cameron"/>
    <x v="15"/>
    <x v="12"/>
  </r>
  <r>
    <d v="2024-06-27T00:00:00"/>
    <x v="1"/>
    <x v="3"/>
    <n v="12"/>
    <n v="369.54"/>
    <s v="Store B"/>
    <s v="Retail"/>
    <n v="0.05"/>
    <x v="4"/>
    <n v="4212.7560000000003"/>
    <s v="Debit Card"/>
    <s v="WINTER15"/>
    <n v="1"/>
    <s v="REG100917"/>
    <s v="Cust 7034"/>
    <n v="39.159999999999997"/>
    <d v="2024-06-27T00:00:00"/>
    <d v="2024-07-05T00:00:00"/>
    <s v="Sophie"/>
    <x v="23"/>
    <x v="11"/>
  </r>
  <r>
    <d v="2024-05-20T00:00:00"/>
    <x v="1"/>
    <x v="4"/>
    <n v="13"/>
    <n v="284.3"/>
    <s v="Store A"/>
    <s v="Wholesale"/>
    <n v="0.05"/>
    <x v="5"/>
    <n v="3511.105"/>
    <s v="Online"/>
    <s v="WINTER15"/>
    <n v="0"/>
    <s v="REG100918"/>
    <s v="Cust 7218"/>
    <n v="48.73"/>
    <d v="2024-05-20T00:00:00"/>
    <d v="2024-05-27T00:00:00"/>
    <s v="Sophie"/>
    <x v="14"/>
    <x v="11"/>
  </r>
  <r>
    <d v="2023-06-17T00:00:00"/>
    <x v="4"/>
    <x v="3"/>
    <n v="12"/>
    <n v="427.1"/>
    <s v="Store C"/>
    <s v="Retail"/>
    <n v="0"/>
    <x v="3"/>
    <n v="5125.2000000000007"/>
    <s v="Gift Card"/>
    <s v="WINTER15"/>
    <n v="1"/>
    <s v="REG100919"/>
    <s v="Cust 2651"/>
    <n v="8.11"/>
    <d v="2023-06-17T00:00:00"/>
    <d v="2023-06-22T00:00:00"/>
    <s v="Wendy"/>
    <x v="4"/>
    <x v="2"/>
  </r>
  <r>
    <d v="2024-11-06T00:00:00"/>
    <x v="0"/>
    <x v="4"/>
    <n v="11"/>
    <n v="200.3"/>
    <s v="Store D"/>
    <s v="Retail"/>
    <n v="0.1"/>
    <x v="0"/>
    <n v="1982.97"/>
    <s v="Debit Card"/>
    <s v="WINTER15"/>
    <n v="1"/>
    <s v="REG100920"/>
    <s v="Cust 1252"/>
    <n v="48.27"/>
    <d v="2024-11-06T00:00:00"/>
    <d v="2024-11-13T00:00:00"/>
    <s v="Eric"/>
    <x v="20"/>
    <x v="1"/>
  </r>
  <r>
    <d v="2025-02-12T00:00:00"/>
    <x v="2"/>
    <x v="6"/>
    <n v="4"/>
    <n v="75.8"/>
    <s v="Store C"/>
    <s v="Retail"/>
    <n v="0.15"/>
    <x v="3"/>
    <n v="257.72000000000003"/>
    <s v="Credit Card"/>
    <s v="SAVE10"/>
    <n v="0"/>
    <s v="REG100921"/>
    <s v="Cust 6679"/>
    <n v="12.22"/>
    <d v="2025-02-12T00:00:00"/>
    <d v="2025-02-20T00:00:00"/>
    <s v="Ryan"/>
    <x v="3"/>
    <x v="3"/>
  </r>
  <r>
    <d v="2025-04-09T00:00:00"/>
    <x v="2"/>
    <x v="4"/>
    <n v="4"/>
    <n v="518.42999999999995"/>
    <s v="Store A"/>
    <s v="Wholesale"/>
    <n v="0"/>
    <x v="1"/>
    <n v="2073.7199999999998"/>
    <s v="Online"/>
    <s v="SAVE10"/>
    <n v="0"/>
    <s v="REG100922"/>
    <s v="Cust 1656"/>
    <n v="30.86"/>
    <d v="2025-04-09T00:00:00"/>
    <d v="2025-04-14T00:00:00"/>
    <s v="Ryan"/>
    <x v="28"/>
    <x v="6"/>
  </r>
  <r>
    <d v="2024-08-18T00:00:00"/>
    <x v="2"/>
    <x v="5"/>
    <n v="19"/>
    <n v="181.18"/>
    <s v="Store A"/>
    <s v="Wholesale"/>
    <n v="0.05"/>
    <x v="3"/>
    <n v="3270.299"/>
    <s v="Credit Card"/>
    <s v="FREESHIP"/>
    <n v="0"/>
    <s v="REG100923"/>
    <s v="Cust 9361"/>
    <n v="12.04"/>
    <d v="2024-08-18T00:00:00"/>
    <d v="2024-08-26T00:00:00"/>
    <s v="Ryan"/>
    <x v="29"/>
    <x v="8"/>
  </r>
  <r>
    <d v="2023-02-20T00:00:00"/>
    <x v="3"/>
    <x v="0"/>
    <n v="3"/>
    <n v="197.17"/>
    <s v="Store A"/>
    <s v="Wholesale"/>
    <n v="0.05"/>
    <x v="2"/>
    <n v="561.93449999999996"/>
    <s v="Gift Card"/>
    <s v="FREESHIP"/>
    <n v="1"/>
    <s v="REG100924"/>
    <s v="Cust 4270"/>
    <n v="30.29"/>
    <d v="2023-02-20T00:00:00"/>
    <d v="2023-02-23T00:00:00"/>
    <s v="Cameron"/>
    <x v="0"/>
    <x v="0"/>
  </r>
  <r>
    <d v="2025-04-28T00:00:00"/>
    <x v="2"/>
    <x v="0"/>
    <n v="6"/>
    <n v="81.96"/>
    <s v="Store D"/>
    <s v="Wholesale"/>
    <n v="0.05"/>
    <x v="4"/>
    <n v="467.17200000000003"/>
    <s v="Credit Card"/>
    <s v="WINTER15"/>
    <n v="0"/>
    <s v="REG100925"/>
    <s v="Cust 3049"/>
    <n v="26.43"/>
    <d v="2025-04-28T00:00:00"/>
    <d v="2025-05-08T00:00:00"/>
    <s v="Ryan"/>
    <x v="28"/>
    <x v="6"/>
  </r>
  <r>
    <d v="2023-08-10T00:00:00"/>
    <x v="3"/>
    <x v="6"/>
    <n v="3"/>
    <n v="59.78"/>
    <s v="Store C"/>
    <s v="Retail"/>
    <n v="0"/>
    <x v="0"/>
    <n v="179.34"/>
    <s v="Online"/>
    <s v="SAVE10"/>
    <n v="0"/>
    <s v="REG100926"/>
    <s v="Cust 6415"/>
    <n v="46.98"/>
    <d v="2023-08-10T00:00:00"/>
    <d v="2023-08-13T00:00:00"/>
    <s v="Cameron"/>
    <x v="18"/>
    <x v="9"/>
  </r>
  <r>
    <d v="2024-06-24T00:00:00"/>
    <x v="2"/>
    <x v="5"/>
    <n v="12"/>
    <n v="211.66"/>
    <s v="Store A"/>
    <s v="Wholesale"/>
    <n v="0.1"/>
    <x v="3"/>
    <n v="2285.9279999999999"/>
    <s v="Credit Card"/>
    <s v="SAVE10"/>
    <n v="0"/>
    <s v="REG100927"/>
    <s v="Cust 9856"/>
    <n v="10.36"/>
    <d v="2024-06-24T00:00:00"/>
    <d v="2024-06-29T00:00:00"/>
    <s v="Ryan"/>
    <x v="23"/>
    <x v="11"/>
  </r>
  <r>
    <d v="2023-08-06T00:00:00"/>
    <x v="3"/>
    <x v="6"/>
    <n v="13"/>
    <n v="69.97"/>
    <s v="Store A"/>
    <s v="Wholesale"/>
    <n v="0.05"/>
    <x v="1"/>
    <n v="864.12950000000001"/>
    <s v="Debit Card"/>
    <m/>
    <n v="0"/>
    <s v="REG100928"/>
    <s v="Cust 3106"/>
    <n v="27.66"/>
    <d v="2023-08-06T00:00:00"/>
    <d v="2023-08-12T00:00:00"/>
    <s v="Cameron"/>
    <x v="18"/>
    <x v="9"/>
  </r>
  <r>
    <d v="2024-11-26T00:00:00"/>
    <x v="0"/>
    <x v="5"/>
    <n v="7"/>
    <n v="438.33"/>
    <s v="Store C"/>
    <s v="Retail"/>
    <n v="0.1"/>
    <x v="2"/>
    <n v="2761.4789999999998"/>
    <s v="Cash"/>
    <m/>
    <n v="1"/>
    <s v="REG100929"/>
    <s v="Cust 3259"/>
    <n v="11.57"/>
    <d v="2024-11-26T00:00:00"/>
    <d v="2024-11-30T00:00:00"/>
    <s v="Eric"/>
    <x v="20"/>
    <x v="1"/>
  </r>
  <r>
    <d v="2025-02-06T00:00:00"/>
    <x v="0"/>
    <x v="0"/>
    <n v="7"/>
    <n v="241.81"/>
    <s v="Store C"/>
    <s v="Wholesale"/>
    <n v="0.1"/>
    <x v="1"/>
    <n v="1523.403"/>
    <s v="Debit Card"/>
    <s v="FREESHIP"/>
    <n v="0"/>
    <s v="REG100930"/>
    <s v="Cust 7107"/>
    <n v="32.94"/>
    <d v="2025-02-06T00:00:00"/>
    <d v="2025-02-10T00:00:00"/>
    <s v="Eric"/>
    <x v="3"/>
    <x v="3"/>
  </r>
  <r>
    <d v="2025-03-20T00:00:00"/>
    <x v="0"/>
    <x v="2"/>
    <n v="3"/>
    <n v="466.64"/>
    <s v="Store A"/>
    <s v="Retail"/>
    <n v="0.15"/>
    <x v="5"/>
    <n v="1189.932"/>
    <s v="Online"/>
    <s v="FREESHIP"/>
    <n v="0"/>
    <s v="REG100931"/>
    <s v="Cust 7542"/>
    <n v="30.33"/>
    <d v="2025-03-20T00:00:00"/>
    <d v="2025-03-26T00:00:00"/>
    <s v="Eric"/>
    <x v="8"/>
    <x v="6"/>
  </r>
  <r>
    <d v="2024-09-10T00:00:00"/>
    <x v="1"/>
    <x v="4"/>
    <n v="9"/>
    <n v="472.84"/>
    <s v="Store D"/>
    <s v="Retail"/>
    <n v="0.05"/>
    <x v="1"/>
    <n v="4042.7819999999988"/>
    <s v="Credit Card"/>
    <s v="WINTER15"/>
    <n v="0"/>
    <s v="REG100932"/>
    <s v="Cust 6330"/>
    <n v="48.13"/>
    <d v="2024-09-10T00:00:00"/>
    <d v="2024-09-12T00:00:00"/>
    <s v="Sophie"/>
    <x v="26"/>
    <x v="5"/>
  </r>
  <r>
    <d v="2025-02-20T00:00:00"/>
    <x v="1"/>
    <x v="3"/>
    <n v="19"/>
    <n v="586.49"/>
    <s v="Store A"/>
    <s v="Wholesale"/>
    <n v="0.1"/>
    <x v="0"/>
    <n v="10028.978999999999"/>
    <s v="Cash"/>
    <s v="SAVE10"/>
    <n v="0"/>
    <s v="REG100933"/>
    <s v="Cust 1469"/>
    <n v="19.850000000000001"/>
    <d v="2025-02-20T00:00:00"/>
    <d v="2025-03-02T00:00:00"/>
    <s v="Sophie"/>
    <x v="3"/>
    <x v="3"/>
  </r>
  <r>
    <d v="2023-01-20T00:00:00"/>
    <x v="0"/>
    <x v="3"/>
    <n v="15"/>
    <n v="462.85"/>
    <s v="Store A"/>
    <s v="Retail"/>
    <n v="0.15"/>
    <x v="4"/>
    <n v="5901.3374999999996"/>
    <s v="Credit Card"/>
    <m/>
    <n v="0"/>
    <s v="REG100934"/>
    <s v="Cust 3698"/>
    <n v="46.12"/>
    <d v="2023-01-20T00:00:00"/>
    <d v="2023-01-26T00:00:00"/>
    <s v="Eric"/>
    <x v="6"/>
    <x v="0"/>
  </r>
  <r>
    <d v="2024-03-03T00:00:00"/>
    <x v="0"/>
    <x v="0"/>
    <n v="1"/>
    <n v="176.17"/>
    <s v="Store C"/>
    <s v="Retail"/>
    <n v="0.05"/>
    <x v="1"/>
    <n v="167.36150000000001"/>
    <s v="Debit Card"/>
    <m/>
    <n v="1"/>
    <s v="REG100935"/>
    <s v="Cust 9833"/>
    <n v="35.770000000000003"/>
    <d v="2024-03-03T00:00:00"/>
    <d v="2024-03-06T00:00:00"/>
    <s v="Eric"/>
    <x v="25"/>
    <x v="4"/>
  </r>
  <r>
    <d v="2023-11-27T00:00:00"/>
    <x v="4"/>
    <x v="6"/>
    <n v="1"/>
    <n v="71.239999999999995"/>
    <s v="Store A"/>
    <s v="Retail"/>
    <n v="0.1"/>
    <x v="3"/>
    <n v="64.116"/>
    <s v="Debit Card"/>
    <m/>
    <n v="1"/>
    <s v="REG100936"/>
    <s v="Cust 1074"/>
    <n v="43.69"/>
    <d v="2023-11-27T00:00:00"/>
    <d v="2023-12-03T00:00:00"/>
    <s v="Wendy"/>
    <x v="15"/>
    <x v="12"/>
  </r>
  <r>
    <d v="2024-11-10T00:00:00"/>
    <x v="0"/>
    <x v="0"/>
    <n v="6"/>
    <n v="62.43"/>
    <s v="Store A"/>
    <s v="Wholesale"/>
    <n v="0"/>
    <x v="4"/>
    <n v="374.58"/>
    <s v="Gift Card"/>
    <s v="WINTER15"/>
    <n v="0"/>
    <s v="REG100937"/>
    <s v="Cust 7891"/>
    <n v="17.850000000000001"/>
    <d v="2024-11-10T00:00:00"/>
    <d v="2024-11-18T00:00:00"/>
    <s v="Eric"/>
    <x v="20"/>
    <x v="1"/>
  </r>
  <r>
    <d v="2025-02-04T00:00:00"/>
    <x v="3"/>
    <x v="5"/>
    <n v="7"/>
    <n v="569.89"/>
    <s v="Store D"/>
    <s v="Wholesale"/>
    <n v="0.1"/>
    <x v="1"/>
    <n v="3590.3069999999998"/>
    <s v="Cash"/>
    <s v="SAVE10"/>
    <n v="0"/>
    <s v="REG100938"/>
    <s v="Cust 3373"/>
    <n v="26.81"/>
    <d v="2025-02-04T00:00:00"/>
    <d v="2025-02-08T00:00:00"/>
    <s v="Cameron"/>
    <x v="3"/>
    <x v="3"/>
  </r>
  <r>
    <d v="2024-02-21T00:00:00"/>
    <x v="0"/>
    <x v="2"/>
    <n v="5"/>
    <n v="34.06"/>
    <s v="Store D"/>
    <s v="Wholesale"/>
    <n v="0.05"/>
    <x v="4"/>
    <n v="161.785"/>
    <s v="Gift Card"/>
    <m/>
    <n v="0"/>
    <s v="REG100939"/>
    <s v="Cust 9045"/>
    <n v="19.72"/>
    <d v="2024-02-21T00:00:00"/>
    <d v="2024-03-02T00:00:00"/>
    <s v="Eric"/>
    <x v="5"/>
    <x v="4"/>
  </r>
  <r>
    <d v="2023-03-24T00:00:00"/>
    <x v="0"/>
    <x v="2"/>
    <n v="17"/>
    <n v="502.6"/>
    <s v="Store A"/>
    <s v="Wholesale"/>
    <n v="0.1"/>
    <x v="2"/>
    <n v="7689.7800000000007"/>
    <s v="Cash"/>
    <m/>
    <n v="0"/>
    <s v="REG100940"/>
    <s v="Cust 9197"/>
    <n v="15.38"/>
    <d v="2023-03-24T00:00:00"/>
    <d v="2023-03-29T00:00:00"/>
    <s v="Eric"/>
    <x v="17"/>
    <x v="13"/>
  </r>
  <r>
    <d v="2024-05-05T00:00:00"/>
    <x v="1"/>
    <x v="6"/>
    <n v="3"/>
    <n v="89.72"/>
    <s v="Store D"/>
    <s v="Wholesale"/>
    <n v="0.1"/>
    <x v="1"/>
    <n v="242.244"/>
    <s v="Gift Card"/>
    <s v="WINTER15"/>
    <n v="0"/>
    <s v="REG100941"/>
    <s v="Cust 6920"/>
    <n v="32.67"/>
    <d v="2024-05-05T00:00:00"/>
    <d v="2024-05-13T00:00:00"/>
    <s v="Sophie"/>
    <x v="14"/>
    <x v="11"/>
  </r>
  <r>
    <d v="2024-10-04T00:00:00"/>
    <x v="1"/>
    <x v="0"/>
    <n v="18"/>
    <n v="403.53"/>
    <s v="Store D"/>
    <s v="Wholesale"/>
    <n v="0.1"/>
    <x v="1"/>
    <n v="6537.1859999999997"/>
    <s v="Online"/>
    <m/>
    <n v="0"/>
    <s v="REG100942"/>
    <s v="Cust 9652"/>
    <n v="35.729999999999997"/>
    <d v="2024-10-04T00:00:00"/>
    <d v="2024-10-07T00:00:00"/>
    <s v="Sophie"/>
    <x v="7"/>
    <x v="5"/>
  </r>
  <r>
    <d v="2025-01-04T00:00:00"/>
    <x v="1"/>
    <x v="3"/>
    <n v="2"/>
    <n v="194.97"/>
    <s v="Store A"/>
    <s v="Retail"/>
    <n v="0"/>
    <x v="4"/>
    <n v="389.94"/>
    <s v="Credit Card"/>
    <s v="SAVE10"/>
    <n v="0"/>
    <s v="REG100943"/>
    <s v="Cust 4189"/>
    <n v="9.89"/>
    <d v="2025-01-04T00:00:00"/>
    <d v="2025-01-14T00:00:00"/>
    <s v="Sophie"/>
    <x v="12"/>
    <x v="3"/>
  </r>
  <r>
    <d v="2024-12-23T00:00:00"/>
    <x v="3"/>
    <x v="6"/>
    <n v="12"/>
    <n v="171.91"/>
    <s v="Store B"/>
    <s v="Retail"/>
    <n v="0.05"/>
    <x v="0"/>
    <n v="1959.7739999999999"/>
    <s v="Credit Card"/>
    <s v="WINTER15"/>
    <n v="0"/>
    <s v="REG100944"/>
    <s v="Cust 6267"/>
    <n v="34.36"/>
    <d v="2024-12-23T00:00:00"/>
    <d v="2025-01-02T00:00:00"/>
    <s v="Cameron"/>
    <x v="1"/>
    <x v="1"/>
  </r>
  <r>
    <d v="2023-01-29T00:00:00"/>
    <x v="3"/>
    <x v="0"/>
    <n v="17"/>
    <n v="535.88"/>
    <s v="Store A"/>
    <s v="Wholesale"/>
    <n v="0.05"/>
    <x v="5"/>
    <n v="8654.4619999999995"/>
    <s v="Gift Card"/>
    <m/>
    <n v="0"/>
    <s v="REG100945"/>
    <s v="Cust 7753"/>
    <n v="26.12"/>
    <d v="2023-01-29T00:00:00"/>
    <d v="2023-02-08T00:00:00"/>
    <s v="Cameron"/>
    <x v="6"/>
    <x v="0"/>
  </r>
  <r>
    <d v="2024-08-11T00:00:00"/>
    <x v="4"/>
    <x v="3"/>
    <n v="12"/>
    <n v="248.13"/>
    <s v="Store A"/>
    <s v="Retail"/>
    <n v="0.05"/>
    <x v="1"/>
    <n v="2828.6819999999998"/>
    <s v="Cash"/>
    <s v="FREESHIP"/>
    <n v="0"/>
    <s v="REG100946"/>
    <s v="Cust 2789"/>
    <n v="26.03"/>
    <d v="2024-08-11T00:00:00"/>
    <d v="2024-08-17T00:00:00"/>
    <s v="Wendy"/>
    <x v="29"/>
    <x v="8"/>
  </r>
  <r>
    <d v="2023-11-25T00:00:00"/>
    <x v="2"/>
    <x v="1"/>
    <n v="2"/>
    <n v="482.1"/>
    <s v="Store C"/>
    <s v="Retail"/>
    <n v="0"/>
    <x v="3"/>
    <n v="964.2"/>
    <s v="Online"/>
    <s v="FREESHIP"/>
    <n v="0"/>
    <s v="REG100947"/>
    <s v="Cust 3527"/>
    <n v="45.35"/>
    <d v="2023-11-25T00:00:00"/>
    <d v="2023-11-30T00:00:00"/>
    <s v="Ryan"/>
    <x v="15"/>
    <x v="12"/>
  </r>
  <r>
    <d v="2025-03-04T00:00:00"/>
    <x v="2"/>
    <x v="4"/>
    <n v="18"/>
    <n v="382.01"/>
    <s v="Store D"/>
    <s v="Wholesale"/>
    <n v="0.1"/>
    <x v="1"/>
    <n v="6188.5620000000008"/>
    <s v="Online"/>
    <s v="SAVE10"/>
    <n v="0"/>
    <s v="REG100948"/>
    <s v="Cust 9538"/>
    <n v="36.549999999999997"/>
    <d v="2025-03-04T00:00:00"/>
    <d v="2025-03-08T00:00:00"/>
    <s v="Ryan"/>
    <x v="8"/>
    <x v="6"/>
  </r>
  <r>
    <d v="2025-02-21T00:00:00"/>
    <x v="2"/>
    <x v="1"/>
    <n v="13"/>
    <n v="135.97999999999999"/>
    <s v="Store C"/>
    <s v="Wholesale"/>
    <n v="0"/>
    <x v="2"/>
    <n v="1767.74"/>
    <s v="Online"/>
    <s v="WINTER15"/>
    <n v="0"/>
    <s v="REG100949"/>
    <s v="Cust 7195"/>
    <n v="28.35"/>
    <d v="2025-02-21T00:00:00"/>
    <d v="2025-03-01T00:00:00"/>
    <s v="Ryan"/>
    <x v="3"/>
    <x v="3"/>
  </r>
  <r>
    <d v="2025-02-26T00:00:00"/>
    <x v="0"/>
    <x v="2"/>
    <n v="9"/>
    <n v="562.54"/>
    <s v="Store A"/>
    <s v="Wholesale"/>
    <n v="0"/>
    <x v="1"/>
    <n v="5062.8599999999997"/>
    <s v="Credit Card"/>
    <s v="FREESHIP"/>
    <n v="0"/>
    <s v="REG100950"/>
    <s v="Cust 8929"/>
    <n v="30.27"/>
    <d v="2025-02-26T00:00:00"/>
    <d v="2025-02-28T00:00:00"/>
    <s v="Eric"/>
    <x v="3"/>
    <x v="3"/>
  </r>
  <r>
    <d v="2024-03-29T00:00:00"/>
    <x v="0"/>
    <x v="4"/>
    <n v="6"/>
    <n v="509.48"/>
    <s v="Store B"/>
    <s v="Wholesale"/>
    <n v="0"/>
    <x v="1"/>
    <n v="3056.88"/>
    <s v="Debit Card"/>
    <s v="WINTER15"/>
    <n v="0"/>
    <s v="REG100951"/>
    <s v="Cust 8931"/>
    <n v="35.92"/>
    <d v="2024-03-29T00:00:00"/>
    <d v="2024-04-06T00:00:00"/>
    <s v="Eric"/>
    <x v="25"/>
    <x v="7"/>
  </r>
  <r>
    <d v="2025-05-28T00:00:00"/>
    <x v="4"/>
    <x v="2"/>
    <n v="3"/>
    <n v="470.09"/>
    <s v="Store B"/>
    <s v="Wholesale"/>
    <n v="0"/>
    <x v="0"/>
    <n v="1410.27"/>
    <s v="Gift Card"/>
    <m/>
    <n v="0"/>
    <s v="REG100952"/>
    <s v="Cust 1424"/>
    <n v="38.29"/>
    <d v="2025-05-28T00:00:00"/>
    <d v="2025-06-01T00:00:00"/>
    <s v="Wendy"/>
    <x v="13"/>
    <x v="10"/>
  </r>
  <r>
    <d v="2024-05-24T00:00:00"/>
    <x v="4"/>
    <x v="6"/>
    <n v="10"/>
    <n v="280.8"/>
    <s v="Store C"/>
    <s v="Retail"/>
    <n v="0"/>
    <x v="1"/>
    <n v="2808"/>
    <s v="Credit Card"/>
    <s v="SAVE10"/>
    <n v="0"/>
    <s v="REG100953"/>
    <s v="Cust 6723"/>
    <n v="49.98"/>
    <d v="2024-05-24T00:00:00"/>
    <d v="2024-05-30T00:00:00"/>
    <s v="Wendy"/>
    <x v="14"/>
    <x v="11"/>
  </r>
  <r>
    <d v="2023-05-12T00:00:00"/>
    <x v="1"/>
    <x v="3"/>
    <n v="9"/>
    <n v="251.43"/>
    <s v="Store C"/>
    <s v="Retail"/>
    <n v="0.1"/>
    <x v="2"/>
    <n v="2036.5830000000001"/>
    <s v="Credit Card"/>
    <m/>
    <n v="0"/>
    <s v="REG100954"/>
    <s v="Cust 8850"/>
    <n v="22.57"/>
    <d v="2023-05-12T00:00:00"/>
    <d v="2023-05-17T00:00:00"/>
    <s v="Sophie"/>
    <x v="2"/>
    <x v="2"/>
  </r>
  <r>
    <d v="2023-10-11T00:00:00"/>
    <x v="1"/>
    <x v="1"/>
    <n v="4"/>
    <n v="408.28"/>
    <s v="Store A"/>
    <s v="Retail"/>
    <n v="0.15"/>
    <x v="1"/>
    <n v="1388.152"/>
    <s v="Cash"/>
    <s v="WINTER15"/>
    <n v="0"/>
    <s v="REG100955"/>
    <s v="Cust 1722"/>
    <n v="5.38"/>
    <d v="2023-10-11T00:00:00"/>
    <d v="2023-10-15T00:00:00"/>
    <s v="Sophie"/>
    <x v="19"/>
    <x v="14"/>
  </r>
  <r>
    <d v="2024-01-25T00:00:00"/>
    <x v="2"/>
    <x v="6"/>
    <n v="2"/>
    <n v="27.43"/>
    <s v="Store B"/>
    <s v="Retail"/>
    <n v="0.15"/>
    <x v="2"/>
    <n v="46.631"/>
    <s v="Online"/>
    <s v="WINTER15"/>
    <n v="0"/>
    <s v="REG100956"/>
    <s v="Cust 1211"/>
    <n v="6.15"/>
    <d v="2024-01-25T00:00:00"/>
    <d v="2024-02-01T00:00:00"/>
    <s v="Ryan"/>
    <x v="24"/>
    <x v="4"/>
  </r>
  <r>
    <d v="2023-02-03T00:00:00"/>
    <x v="0"/>
    <x v="1"/>
    <n v="11"/>
    <n v="321.72000000000003"/>
    <s v="Store A"/>
    <s v="Retail"/>
    <n v="0.1"/>
    <x v="3"/>
    <n v="3185.0279999999998"/>
    <s v="Online"/>
    <s v="WINTER15"/>
    <n v="1"/>
    <s v="REG100957"/>
    <s v="Cust 9384"/>
    <n v="17.940000000000001"/>
    <d v="2023-02-03T00:00:00"/>
    <d v="2023-02-06T00:00:00"/>
    <s v="Eric"/>
    <x v="0"/>
    <x v="0"/>
  </r>
  <r>
    <d v="2024-07-08T00:00:00"/>
    <x v="2"/>
    <x v="2"/>
    <n v="5"/>
    <n v="186.32"/>
    <s v="Store A"/>
    <s v="Wholesale"/>
    <n v="0.1"/>
    <x v="3"/>
    <n v="838.43999999999994"/>
    <s v="Gift Card"/>
    <s v="WINTER15"/>
    <n v="0"/>
    <s v="REG100958"/>
    <s v="Cust 3809"/>
    <n v="17.09"/>
    <d v="2024-07-08T00:00:00"/>
    <d v="2024-07-14T00:00:00"/>
    <s v="Ryan"/>
    <x v="10"/>
    <x v="8"/>
  </r>
  <r>
    <d v="2025-05-31T00:00:00"/>
    <x v="1"/>
    <x v="4"/>
    <n v="3"/>
    <n v="390.28"/>
    <s v="Store B"/>
    <s v="Retail"/>
    <n v="0"/>
    <x v="2"/>
    <n v="1170.8399999999999"/>
    <s v="Online"/>
    <s v="WINTER15"/>
    <n v="1"/>
    <s v="REG100959"/>
    <s v="Cust 9338"/>
    <n v="45.22"/>
    <d v="2025-05-31T00:00:00"/>
    <d v="2025-06-10T00:00:00"/>
    <s v="Sophie"/>
    <x v="13"/>
    <x v="10"/>
  </r>
  <r>
    <d v="2023-11-09T00:00:00"/>
    <x v="1"/>
    <x v="4"/>
    <n v="13"/>
    <n v="174.9"/>
    <s v="Store A"/>
    <s v="Wholesale"/>
    <n v="0.15"/>
    <x v="3"/>
    <n v="1932.645"/>
    <s v="Online"/>
    <s v="WINTER15"/>
    <n v="0"/>
    <s v="REG100960"/>
    <s v="Cust 1822"/>
    <n v="31.26"/>
    <d v="2023-11-09T00:00:00"/>
    <d v="2023-11-12T00:00:00"/>
    <s v="Sophie"/>
    <x v="15"/>
    <x v="12"/>
  </r>
  <r>
    <d v="2023-07-06T00:00:00"/>
    <x v="2"/>
    <x v="3"/>
    <n v="8"/>
    <n v="419.13"/>
    <s v="Store A"/>
    <s v="Retail"/>
    <n v="0.1"/>
    <x v="1"/>
    <n v="3017.7359999999999"/>
    <s v="Online"/>
    <m/>
    <n v="1"/>
    <s v="REG100961"/>
    <s v="Cust 8260"/>
    <n v="11.02"/>
    <d v="2023-07-06T00:00:00"/>
    <d v="2023-07-10T00:00:00"/>
    <s v="Ryan"/>
    <x v="11"/>
    <x v="9"/>
  </r>
  <r>
    <d v="2023-07-14T00:00:00"/>
    <x v="2"/>
    <x v="3"/>
    <n v="12"/>
    <n v="116.96"/>
    <s v="Store D"/>
    <s v="Wholesale"/>
    <n v="0"/>
    <x v="1"/>
    <n v="1403.52"/>
    <s v="Gift Card"/>
    <s v="WINTER15"/>
    <n v="0"/>
    <s v="REG100962"/>
    <s v="Cust 7088"/>
    <n v="22.04"/>
    <d v="2023-07-14T00:00:00"/>
    <d v="2023-07-22T00:00:00"/>
    <s v="Ryan"/>
    <x v="11"/>
    <x v="9"/>
  </r>
  <r>
    <d v="2023-11-13T00:00:00"/>
    <x v="4"/>
    <x v="3"/>
    <n v="11"/>
    <n v="323.72000000000003"/>
    <s v="Store A"/>
    <s v="Wholesale"/>
    <n v="0.1"/>
    <x v="5"/>
    <n v="3204.828"/>
    <s v="Gift Card"/>
    <s v="WINTER15"/>
    <n v="0"/>
    <s v="REG100963"/>
    <s v="Cust 4969"/>
    <n v="7.52"/>
    <d v="2023-11-13T00:00:00"/>
    <d v="2023-11-15T00:00:00"/>
    <s v="Wendy"/>
    <x v="15"/>
    <x v="12"/>
  </r>
  <r>
    <d v="2025-02-02T00:00:00"/>
    <x v="4"/>
    <x v="5"/>
    <n v="11"/>
    <n v="155.49"/>
    <s v="Store D"/>
    <s v="Retail"/>
    <n v="0.05"/>
    <x v="2"/>
    <n v="1624.8705"/>
    <s v="Cash"/>
    <m/>
    <n v="0"/>
    <s v="REG100964"/>
    <s v="Cust 9046"/>
    <n v="47.01"/>
    <d v="2025-02-02T00:00:00"/>
    <d v="2025-02-12T00:00:00"/>
    <s v="Wendy"/>
    <x v="3"/>
    <x v="3"/>
  </r>
  <r>
    <d v="2024-05-06T00:00:00"/>
    <x v="1"/>
    <x v="6"/>
    <n v="20"/>
    <n v="270.2"/>
    <s v="Store A"/>
    <s v="Wholesale"/>
    <n v="0"/>
    <x v="4"/>
    <n v="5404"/>
    <s v="Credit Card"/>
    <s v="WINTER15"/>
    <n v="0"/>
    <s v="REG100965"/>
    <s v="Cust 6859"/>
    <n v="6.8"/>
    <d v="2024-05-06T00:00:00"/>
    <d v="2024-05-15T00:00:00"/>
    <s v="Sophie"/>
    <x v="14"/>
    <x v="11"/>
  </r>
  <r>
    <d v="2024-10-17T00:00:00"/>
    <x v="1"/>
    <x v="6"/>
    <n v="15"/>
    <n v="482.08"/>
    <s v="Store D"/>
    <s v="Retail"/>
    <n v="0.1"/>
    <x v="0"/>
    <n v="6508.08"/>
    <s v="Debit Card"/>
    <s v="FREESHIP"/>
    <n v="1"/>
    <s v="REG100966"/>
    <s v="Cust 2800"/>
    <n v="13.35"/>
    <d v="2024-10-17T00:00:00"/>
    <d v="2024-10-19T00:00:00"/>
    <s v="Sophie"/>
    <x v="7"/>
    <x v="5"/>
  </r>
  <r>
    <d v="2025-01-29T00:00:00"/>
    <x v="2"/>
    <x v="0"/>
    <n v="11"/>
    <n v="431.51"/>
    <s v="Store C"/>
    <s v="Wholesale"/>
    <n v="0.1"/>
    <x v="3"/>
    <n v="4271.9489999999996"/>
    <s v="Debit Card"/>
    <s v="SAVE10"/>
    <n v="0"/>
    <s v="REG100967"/>
    <s v="Cust 1146"/>
    <n v="22.83"/>
    <d v="2025-01-29T00:00:00"/>
    <d v="2025-02-05T00:00:00"/>
    <s v="Ryan"/>
    <x v="12"/>
    <x v="3"/>
  </r>
  <r>
    <d v="2025-03-23T00:00:00"/>
    <x v="3"/>
    <x v="3"/>
    <n v="5"/>
    <n v="302.76"/>
    <s v="Store D"/>
    <s v="Wholesale"/>
    <n v="0"/>
    <x v="3"/>
    <n v="1513.8"/>
    <s v="Gift Card"/>
    <s v="FREESHIP"/>
    <n v="1"/>
    <s v="REG100968"/>
    <s v="Cust 6447"/>
    <n v="46.69"/>
    <d v="2025-03-23T00:00:00"/>
    <d v="2025-03-29T00:00:00"/>
    <s v="Cameron"/>
    <x v="8"/>
    <x v="6"/>
  </r>
  <r>
    <d v="2024-04-11T00:00:00"/>
    <x v="4"/>
    <x v="3"/>
    <n v="19"/>
    <n v="344.92"/>
    <s v="Store C"/>
    <s v="Wholesale"/>
    <n v="0"/>
    <x v="0"/>
    <n v="6553.48"/>
    <s v="Cash"/>
    <s v="WINTER15"/>
    <n v="0"/>
    <s v="REG100969"/>
    <s v="Cust 8519"/>
    <n v="6.91"/>
    <d v="2024-04-11T00:00:00"/>
    <d v="2024-04-20T00:00:00"/>
    <s v="Wendy"/>
    <x v="9"/>
    <x v="7"/>
  </r>
  <r>
    <d v="2024-05-03T00:00:00"/>
    <x v="3"/>
    <x v="3"/>
    <n v="7"/>
    <n v="511.46"/>
    <s v="Store C"/>
    <s v="Retail"/>
    <n v="0.1"/>
    <x v="0"/>
    <n v="3222.1979999999999"/>
    <s v="Cash"/>
    <s v="FREESHIP"/>
    <n v="0"/>
    <s v="REG100970"/>
    <s v="Cust 3422"/>
    <n v="19.2"/>
    <d v="2024-05-03T00:00:00"/>
    <d v="2024-05-12T00:00:00"/>
    <s v="Cameron"/>
    <x v="14"/>
    <x v="11"/>
  </r>
  <r>
    <d v="2024-10-14T00:00:00"/>
    <x v="0"/>
    <x v="4"/>
    <n v="7"/>
    <n v="150.6"/>
    <s v="Store A"/>
    <s v="Wholesale"/>
    <n v="0.15"/>
    <x v="5"/>
    <n v="896.07"/>
    <s v="Cash"/>
    <s v="WINTER15"/>
    <n v="1"/>
    <s v="REG100971"/>
    <s v="Cust 9638"/>
    <n v="15.52"/>
    <d v="2024-10-14T00:00:00"/>
    <d v="2024-10-21T00:00:00"/>
    <s v="Eric"/>
    <x v="7"/>
    <x v="5"/>
  </r>
  <r>
    <d v="2024-02-08T00:00:00"/>
    <x v="4"/>
    <x v="1"/>
    <n v="8"/>
    <n v="158.02000000000001"/>
    <s v="Store C"/>
    <s v="Wholesale"/>
    <n v="0.15"/>
    <x v="4"/>
    <n v="1074.5360000000001"/>
    <s v="Credit Card"/>
    <s v="FREESHIP"/>
    <n v="0"/>
    <s v="REG100972"/>
    <s v="Cust 6438"/>
    <n v="47.43"/>
    <d v="2024-02-08T00:00:00"/>
    <d v="2024-02-13T00:00:00"/>
    <s v="Wendy"/>
    <x v="5"/>
    <x v="4"/>
  </r>
  <r>
    <d v="2023-05-10T00:00:00"/>
    <x v="3"/>
    <x v="5"/>
    <n v="2"/>
    <n v="536.17999999999995"/>
    <s v="Store B"/>
    <s v="Retail"/>
    <n v="0.1"/>
    <x v="2"/>
    <n v="965.12399999999991"/>
    <s v="Credit Card"/>
    <s v="FREESHIP"/>
    <n v="0"/>
    <s v="REG100973"/>
    <s v="Cust 1724"/>
    <n v="34.75"/>
    <d v="2023-05-10T00:00:00"/>
    <d v="2023-05-13T00:00:00"/>
    <s v="Cameron"/>
    <x v="2"/>
    <x v="2"/>
  </r>
  <r>
    <d v="2023-03-03T00:00:00"/>
    <x v="2"/>
    <x v="3"/>
    <n v="16"/>
    <n v="571.26"/>
    <s v="Store C"/>
    <s v="Wholesale"/>
    <n v="0.15"/>
    <x v="5"/>
    <n v="7769.1360000000004"/>
    <s v="Gift Card"/>
    <s v="SAVE10"/>
    <n v="0"/>
    <s v="REG100974"/>
    <s v="Cust 7808"/>
    <n v="6.13"/>
    <d v="2023-03-03T00:00:00"/>
    <d v="2023-03-12T00:00:00"/>
    <s v="Ryan"/>
    <x v="17"/>
    <x v="13"/>
  </r>
  <r>
    <d v="2025-05-21T00:00:00"/>
    <x v="3"/>
    <x v="5"/>
    <n v="12"/>
    <n v="134.41999999999999"/>
    <s v="Store D"/>
    <s v="Retail"/>
    <n v="0.1"/>
    <x v="4"/>
    <n v="1451.7360000000001"/>
    <s v="Gift Card"/>
    <s v="FREESHIP"/>
    <n v="0"/>
    <s v="REG100975"/>
    <s v="Cust 3045"/>
    <n v="33.979999999999997"/>
    <d v="2025-05-21T00:00:00"/>
    <d v="2025-05-27T00:00:00"/>
    <s v="Cameron"/>
    <x v="13"/>
    <x v="10"/>
  </r>
  <r>
    <d v="2025-04-30T00:00:00"/>
    <x v="3"/>
    <x v="0"/>
    <n v="5"/>
    <n v="563.70000000000005"/>
    <s v="Store A"/>
    <s v="Retail"/>
    <n v="0"/>
    <x v="5"/>
    <n v="2818.5"/>
    <s v="Online"/>
    <s v="SAVE10"/>
    <n v="0"/>
    <s v="REG100976"/>
    <s v="Cust 7348"/>
    <n v="29.28"/>
    <d v="2025-04-30T00:00:00"/>
    <d v="2025-05-07T00:00:00"/>
    <s v="Cameron"/>
    <x v="28"/>
    <x v="6"/>
  </r>
  <r>
    <d v="2023-04-02T00:00:00"/>
    <x v="2"/>
    <x v="1"/>
    <n v="11"/>
    <n v="546.57000000000005"/>
    <s v="Store D"/>
    <s v="Retail"/>
    <n v="0.15"/>
    <x v="5"/>
    <n v="5110.4295000000002"/>
    <s v="Credit Card"/>
    <s v="SAVE10"/>
    <n v="1"/>
    <s v="REG100977"/>
    <s v="Cust 5666"/>
    <n v="24.77"/>
    <d v="2023-04-02T00:00:00"/>
    <d v="2023-04-04T00:00:00"/>
    <s v="Ryan"/>
    <x v="21"/>
    <x v="13"/>
  </r>
  <r>
    <d v="2024-08-26T00:00:00"/>
    <x v="2"/>
    <x v="4"/>
    <n v="9"/>
    <n v="364.88"/>
    <s v="Store C"/>
    <s v="Wholesale"/>
    <n v="0.05"/>
    <x v="5"/>
    <n v="3119.7240000000002"/>
    <s v="Cash"/>
    <s v="SAVE10"/>
    <n v="0"/>
    <s v="REG100978"/>
    <s v="Cust 4002"/>
    <n v="40.26"/>
    <d v="2024-08-26T00:00:00"/>
    <d v="2024-09-05T00:00:00"/>
    <s v="Ryan"/>
    <x v="29"/>
    <x v="8"/>
  </r>
  <r>
    <d v="2023-11-10T00:00:00"/>
    <x v="1"/>
    <x v="4"/>
    <n v="7"/>
    <n v="368.27"/>
    <s v="Store C"/>
    <s v="Wholesale"/>
    <n v="0.15"/>
    <x v="3"/>
    <n v="2191.2064999999998"/>
    <s v="Online"/>
    <s v="WINTER15"/>
    <n v="0"/>
    <s v="REG100979"/>
    <s v="Cust 6675"/>
    <n v="28.98"/>
    <d v="2023-11-10T00:00:00"/>
    <d v="2023-11-20T00:00:00"/>
    <s v="Sophie"/>
    <x v="15"/>
    <x v="12"/>
  </r>
  <r>
    <d v="2025-01-27T00:00:00"/>
    <x v="3"/>
    <x v="6"/>
    <n v="20"/>
    <n v="537.28"/>
    <s v="Store C"/>
    <s v="Wholesale"/>
    <n v="0"/>
    <x v="2"/>
    <n v="10745.6"/>
    <s v="Online"/>
    <m/>
    <n v="1"/>
    <s v="REG100980"/>
    <s v="Cust 5462"/>
    <n v="15.6"/>
    <d v="2025-01-27T00:00:00"/>
    <d v="2025-02-02T00:00:00"/>
    <s v="Cameron"/>
    <x v="12"/>
    <x v="3"/>
  </r>
  <r>
    <d v="2024-04-26T00:00:00"/>
    <x v="1"/>
    <x v="1"/>
    <n v="3"/>
    <n v="103.09"/>
    <s v="Store D"/>
    <s v="Wholesale"/>
    <n v="0"/>
    <x v="3"/>
    <n v="309.27"/>
    <s v="Gift Card"/>
    <s v="SAVE10"/>
    <n v="1"/>
    <s v="REG100981"/>
    <s v="Cust 3471"/>
    <n v="46.47"/>
    <d v="2024-04-26T00:00:00"/>
    <d v="2024-04-30T00:00:00"/>
    <s v="Sophie"/>
    <x v="9"/>
    <x v="7"/>
  </r>
  <r>
    <d v="2023-11-27T00:00:00"/>
    <x v="0"/>
    <x v="5"/>
    <n v="9"/>
    <n v="97.56"/>
    <s v="Store A"/>
    <s v="Wholesale"/>
    <n v="0"/>
    <x v="1"/>
    <n v="878.04"/>
    <s v="Online"/>
    <m/>
    <n v="0"/>
    <s v="REG100982"/>
    <s v="Cust 1603"/>
    <n v="48.84"/>
    <d v="2023-11-27T00:00:00"/>
    <d v="2023-12-01T00:00:00"/>
    <s v="Eric"/>
    <x v="15"/>
    <x v="12"/>
  </r>
  <r>
    <d v="2023-03-30T00:00:00"/>
    <x v="3"/>
    <x v="5"/>
    <n v="10"/>
    <n v="338.75"/>
    <s v="Store A"/>
    <s v="Wholesale"/>
    <n v="0.15"/>
    <x v="3"/>
    <n v="2879.375"/>
    <s v="Cash"/>
    <s v="WINTER15"/>
    <n v="1"/>
    <s v="REG100983"/>
    <s v="Cust 7758"/>
    <n v="36.56"/>
    <d v="2023-03-30T00:00:00"/>
    <d v="2023-04-06T00:00:00"/>
    <s v="Cameron"/>
    <x v="17"/>
    <x v="13"/>
  </r>
  <r>
    <d v="2024-03-04T00:00:00"/>
    <x v="2"/>
    <x v="2"/>
    <n v="2"/>
    <n v="239.04"/>
    <s v="Store A"/>
    <s v="Wholesale"/>
    <n v="0"/>
    <x v="5"/>
    <n v="478.08"/>
    <s v="Debit Card"/>
    <s v="SAVE10"/>
    <n v="1"/>
    <s v="REG100984"/>
    <s v="Cust 3396"/>
    <n v="43.84"/>
    <d v="2024-03-04T00:00:00"/>
    <d v="2024-03-11T00:00:00"/>
    <s v="Ryan"/>
    <x v="25"/>
    <x v="4"/>
  </r>
  <r>
    <d v="2023-07-11T00:00:00"/>
    <x v="1"/>
    <x v="0"/>
    <n v="14"/>
    <n v="362.44"/>
    <s v="Store C"/>
    <s v="Wholesale"/>
    <n v="0.1"/>
    <x v="5"/>
    <n v="4566.7439999999997"/>
    <s v="Cash"/>
    <s v="WINTER15"/>
    <n v="0"/>
    <s v="REG100985"/>
    <s v="Cust 4797"/>
    <n v="36.729999999999997"/>
    <d v="2023-07-11T00:00:00"/>
    <d v="2023-07-15T00:00:00"/>
    <s v="Sophie"/>
    <x v="11"/>
    <x v="9"/>
  </r>
  <r>
    <d v="2024-09-20T00:00:00"/>
    <x v="4"/>
    <x v="4"/>
    <n v="6"/>
    <n v="551.13"/>
    <s v="Store D"/>
    <s v="Retail"/>
    <n v="0"/>
    <x v="3"/>
    <n v="3306.78"/>
    <s v="Gift Card"/>
    <s v="FREESHIP"/>
    <n v="0"/>
    <s v="REG100986"/>
    <s v="Cust 1113"/>
    <n v="14.67"/>
    <d v="2024-09-20T00:00:00"/>
    <d v="2024-09-29T00:00:00"/>
    <s v="Wendy"/>
    <x v="26"/>
    <x v="5"/>
  </r>
  <r>
    <d v="2025-02-18T00:00:00"/>
    <x v="4"/>
    <x v="0"/>
    <n v="1"/>
    <n v="82.06"/>
    <s v="Store D"/>
    <s v="Retail"/>
    <n v="0.1"/>
    <x v="0"/>
    <n v="73.853999999999999"/>
    <s v="Credit Card"/>
    <s v="FREESHIP"/>
    <n v="0"/>
    <s v="REG100987"/>
    <s v="Cust 8843"/>
    <n v="11.11"/>
    <d v="2025-02-18T00:00:00"/>
    <d v="2025-02-24T00:00:00"/>
    <s v="Wendy"/>
    <x v="3"/>
    <x v="3"/>
  </r>
  <r>
    <d v="2024-07-16T00:00:00"/>
    <x v="0"/>
    <x v="5"/>
    <n v="7"/>
    <n v="498.46"/>
    <s v="Store C"/>
    <s v="Wholesale"/>
    <n v="0.15"/>
    <x v="3"/>
    <n v="2965.837"/>
    <s v="Gift Card"/>
    <m/>
    <n v="0"/>
    <s v="REG100988"/>
    <s v="Cust 7505"/>
    <n v="42.72"/>
    <d v="2024-07-16T00:00:00"/>
    <d v="2024-07-20T00:00:00"/>
    <s v="Eric"/>
    <x v="10"/>
    <x v="8"/>
  </r>
  <r>
    <d v="2023-11-23T00:00:00"/>
    <x v="0"/>
    <x v="3"/>
    <n v="2"/>
    <n v="253.41"/>
    <s v="Store D"/>
    <s v="Retail"/>
    <n v="0.1"/>
    <x v="2"/>
    <n v="456.13799999999998"/>
    <s v="Cash"/>
    <s v="FREESHIP"/>
    <n v="0"/>
    <s v="REG100989"/>
    <s v="Cust 9490"/>
    <n v="49.64"/>
    <d v="2023-11-23T00:00:00"/>
    <d v="2023-11-25T00:00:00"/>
    <s v="Eric"/>
    <x v="15"/>
    <x v="12"/>
  </r>
  <r>
    <d v="2023-09-07T00:00:00"/>
    <x v="1"/>
    <x v="1"/>
    <n v="16"/>
    <n v="144.07"/>
    <s v="Store D"/>
    <s v="Wholesale"/>
    <n v="0.1"/>
    <x v="0"/>
    <n v="2074.6080000000002"/>
    <s v="Debit Card"/>
    <s v="FREESHIP"/>
    <n v="0"/>
    <s v="REG100990"/>
    <s v="Cust 8631"/>
    <n v="7.33"/>
    <d v="2023-09-07T00:00:00"/>
    <d v="2023-09-09T00:00:00"/>
    <s v="Sophie"/>
    <x v="22"/>
    <x v="14"/>
  </r>
  <r>
    <d v="2024-02-01T00:00:00"/>
    <x v="4"/>
    <x v="4"/>
    <n v="11"/>
    <n v="201.09"/>
    <s v="Store C"/>
    <s v="Retail"/>
    <n v="0.15"/>
    <x v="3"/>
    <n v="1880.1914999999999"/>
    <s v="Cash"/>
    <m/>
    <n v="1"/>
    <s v="REG100991"/>
    <s v="Cust 6986"/>
    <n v="48.42"/>
    <d v="2024-02-01T00:00:00"/>
    <d v="2024-02-04T00:00:00"/>
    <s v="Wendy"/>
    <x v="5"/>
    <x v="4"/>
  </r>
  <r>
    <d v="2025-05-08T00:00:00"/>
    <x v="1"/>
    <x v="3"/>
    <n v="11"/>
    <n v="585.45000000000005"/>
    <s v="Store D"/>
    <s v="Wholesale"/>
    <n v="0.1"/>
    <x v="1"/>
    <n v="5795.9550000000008"/>
    <s v="Credit Card"/>
    <s v="WINTER15"/>
    <n v="0"/>
    <s v="REG100992"/>
    <s v="Cust 9636"/>
    <n v="36.590000000000003"/>
    <d v="2025-05-08T00:00:00"/>
    <d v="2025-05-12T00:00:00"/>
    <s v="Sophie"/>
    <x v="13"/>
    <x v="10"/>
  </r>
  <r>
    <d v="2025-01-17T00:00:00"/>
    <x v="2"/>
    <x v="0"/>
    <n v="3"/>
    <n v="448.77"/>
    <s v="Store A"/>
    <s v="Retail"/>
    <n v="0"/>
    <x v="1"/>
    <n v="1346.31"/>
    <s v="Online"/>
    <s v="FREESHIP"/>
    <n v="0"/>
    <s v="REG100993"/>
    <s v="Cust 7367"/>
    <n v="28.5"/>
    <d v="2025-01-17T00:00:00"/>
    <d v="2025-01-24T00:00:00"/>
    <s v="Ryan"/>
    <x v="12"/>
    <x v="3"/>
  </r>
  <r>
    <d v="2023-09-02T00:00:00"/>
    <x v="0"/>
    <x v="4"/>
    <n v="9"/>
    <n v="184.43"/>
    <s v="Store D"/>
    <s v="Wholesale"/>
    <n v="0"/>
    <x v="3"/>
    <n v="1659.87"/>
    <s v="Online"/>
    <s v="WINTER15"/>
    <n v="0"/>
    <s v="REG100994"/>
    <s v="Cust 1943"/>
    <n v="30.78"/>
    <d v="2023-09-02T00:00:00"/>
    <d v="2023-09-08T00:00:00"/>
    <s v="Eric"/>
    <x v="22"/>
    <x v="9"/>
  </r>
  <r>
    <d v="2023-06-23T00:00:00"/>
    <x v="3"/>
    <x v="0"/>
    <n v="16"/>
    <n v="594.1"/>
    <s v="Store D"/>
    <s v="Retail"/>
    <n v="0"/>
    <x v="5"/>
    <n v="9505.6"/>
    <s v="Gift Card"/>
    <s v="FREESHIP"/>
    <n v="0"/>
    <s v="REG100995"/>
    <s v="Cust 6368"/>
    <n v="18.2"/>
    <d v="2023-06-23T00:00:00"/>
    <d v="2023-07-01T00:00:00"/>
    <s v="Cameron"/>
    <x v="4"/>
    <x v="2"/>
  </r>
  <r>
    <d v="2024-01-20T00:00:00"/>
    <x v="0"/>
    <x v="0"/>
    <n v="19"/>
    <n v="482.07"/>
    <s v="Store B"/>
    <s v="Wholesale"/>
    <n v="0.1"/>
    <x v="5"/>
    <n v="8243.3970000000008"/>
    <s v="Credit Card"/>
    <m/>
    <n v="0"/>
    <s v="REG100996"/>
    <s v="Cust 9724"/>
    <n v="25.96"/>
    <d v="2024-01-20T00:00:00"/>
    <d v="2024-01-26T00:00:00"/>
    <s v="Eric"/>
    <x v="24"/>
    <x v="4"/>
  </r>
  <r>
    <d v="2024-06-26T00:00:00"/>
    <x v="0"/>
    <x v="3"/>
    <n v="20"/>
    <n v="75.45"/>
    <s v="Store B"/>
    <s v="Wholesale"/>
    <n v="0.05"/>
    <x v="0"/>
    <n v="1433.55"/>
    <s v="Credit Card"/>
    <s v="SAVE10"/>
    <n v="0"/>
    <s v="REG100997"/>
    <s v="Cust 1983"/>
    <n v="44.77"/>
    <d v="2024-06-26T00:00:00"/>
    <d v="2024-07-06T00:00:00"/>
    <s v="Eric"/>
    <x v="23"/>
    <x v="11"/>
  </r>
  <r>
    <d v="2024-12-12T00:00:00"/>
    <x v="3"/>
    <x v="4"/>
    <n v="2"/>
    <n v="494.22"/>
    <s v="Store C"/>
    <s v="Retail"/>
    <n v="0.1"/>
    <x v="3"/>
    <n v="889.59600000000012"/>
    <s v="Gift Card"/>
    <s v="FREESHIP"/>
    <n v="0"/>
    <s v="REG100998"/>
    <s v="Cust 8723"/>
    <n v="13.45"/>
    <d v="2024-12-12T00:00:00"/>
    <d v="2024-12-17T00:00:00"/>
    <s v="Cameron"/>
    <x v="1"/>
    <x v="1"/>
  </r>
  <r>
    <d v="2024-02-21T00:00:00"/>
    <x v="0"/>
    <x v="0"/>
    <n v="15"/>
    <n v="112.82"/>
    <s v="Store B"/>
    <s v="Wholesale"/>
    <n v="0.05"/>
    <x v="2"/>
    <n v="1607.6849999999999"/>
    <s v="Credit Card"/>
    <s v="WINTER15"/>
    <n v="0"/>
    <s v="REG100999"/>
    <s v="Cust 1901"/>
    <n v="18.21"/>
    <d v="2024-02-21T00:00:00"/>
    <d v="2024-03-01T00:00:00"/>
    <s v="Eric"/>
    <x v="5"/>
    <x v="4"/>
  </r>
  <r>
    <d v="2023-07-18T00:00:00"/>
    <x v="0"/>
    <x v="2"/>
    <n v="3"/>
    <n v="121.56"/>
    <s v="Store D"/>
    <s v="Wholesale"/>
    <n v="0"/>
    <x v="0"/>
    <n v="364.68"/>
    <s v="Debit Card"/>
    <s v="WINTER15"/>
    <n v="0"/>
    <s v="REG101000"/>
    <s v="Cust 9682"/>
    <n v="29.06"/>
    <d v="2023-07-18T00:00:00"/>
    <d v="2023-07-25T00:00:00"/>
    <s v="Eric"/>
    <x v="11"/>
    <x v="9"/>
  </r>
  <r>
    <d v="2024-10-02T00:00:00"/>
    <x v="2"/>
    <x v="2"/>
    <n v="12"/>
    <n v="465.94"/>
    <s v="Store D"/>
    <s v="Wholesale"/>
    <n v="0"/>
    <x v="1"/>
    <n v="5591.28"/>
    <s v="Credit Card"/>
    <s v="WINTER15"/>
    <n v="0"/>
    <s v="REG101001"/>
    <s v="Cust 5413"/>
    <n v="34.159999999999997"/>
    <d v="2024-10-02T00:00:00"/>
    <d v="2024-10-06T00:00:00"/>
    <s v="Ryan"/>
    <x v="7"/>
    <x v="5"/>
  </r>
  <r>
    <d v="2024-12-01T00:00:00"/>
    <x v="4"/>
    <x v="1"/>
    <n v="12"/>
    <n v="187.8"/>
    <s v="Store D"/>
    <s v="Wholesale"/>
    <n v="0.15"/>
    <x v="4"/>
    <n v="1915.56"/>
    <s v="Online"/>
    <s v="FREESHIP"/>
    <n v="0"/>
    <s v="REG101002"/>
    <s v="Cust 9590"/>
    <n v="17.739999999999998"/>
    <d v="2024-12-01T00:00:00"/>
    <d v="2024-12-04T00:00:00"/>
    <s v="Wendy"/>
    <x v="1"/>
    <x v="1"/>
  </r>
  <r>
    <d v="2024-09-03T00:00:00"/>
    <x v="0"/>
    <x v="2"/>
    <n v="1"/>
    <n v="561.29999999999995"/>
    <s v="Store D"/>
    <s v="Retail"/>
    <n v="0.15"/>
    <x v="2"/>
    <n v="477.10500000000002"/>
    <s v="Gift Card"/>
    <m/>
    <n v="0"/>
    <s v="REG101003"/>
    <s v="Cust 9379"/>
    <n v="5.19"/>
    <d v="2024-09-03T00:00:00"/>
    <d v="2024-09-12T00:00:00"/>
    <s v="Eric"/>
    <x v="26"/>
    <x v="5"/>
  </r>
  <r>
    <d v="2025-02-22T00:00:00"/>
    <x v="4"/>
    <x v="6"/>
    <n v="7"/>
    <n v="178.26"/>
    <s v="Store C"/>
    <s v="Retail"/>
    <n v="0.15"/>
    <x v="5"/>
    <n v="1060.6469999999999"/>
    <s v="Online"/>
    <s v="FREESHIP"/>
    <n v="0"/>
    <s v="REG101004"/>
    <s v="Cust 4722"/>
    <n v="44.91"/>
    <d v="2025-02-22T00:00:00"/>
    <d v="2025-03-01T00:00:00"/>
    <s v="Wendy"/>
    <x v="3"/>
    <x v="3"/>
  </r>
  <r>
    <d v="2025-05-11T00:00:00"/>
    <x v="4"/>
    <x v="4"/>
    <n v="20"/>
    <n v="552.83000000000004"/>
    <s v="Store D"/>
    <s v="Retail"/>
    <n v="0.15"/>
    <x v="0"/>
    <n v="9398.11"/>
    <s v="Online"/>
    <s v="FREESHIP"/>
    <n v="1"/>
    <s v="REG101005"/>
    <s v="Cust 7152"/>
    <n v="20.5"/>
    <d v="2025-05-11T00:00:00"/>
    <d v="2025-05-13T00:00:00"/>
    <s v="Wendy"/>
    <x v="13"/>
    <x v="10"/>
  </r>
  <r>
    <d v="2024-12-20T00:00:00"/>
    <x v="3"/>
    <x v="5"/>
    <n v="2"/>
    <n v="458.25"/>
    <s v="Store B"/>
    <s v="Wholesale"/>
    <n v="0"/>
    <x v="0"/>
    <n v="916.5"/>
    <s v="Gift Card"/>
    <s v="SAVE10"/>
    <n v="0"/>
    <s v="REG101006"/>
    <s v="Cust 7255"/>
    <n v="25.94"/>
    <d v="2024-12-20T00:00:00"/>
    <d v="2024-12-29T00:00:00"/>
    <s v="Cameron"/>
    <x v="1"/>
    <x v="1"/>
  </r>
  <r>
    <d v="2023-04-18T00:00:00"/>
    <x v="0"/>
    <x v="0"/>
    <n v="2"/>
    <n v="129.43"/>
    <s v="Store D"/>
    <s v="Retail"/>
    <n v="0.05"/>
    <x v="1"/>
    <n v="245.917"/>
    <s v="Debit Card"/>
    <s v="FREESHIP"/>
    <n v="0"/>
    <s v="REG101007"/>
    <s v="Cust 9593"/>
    <n v="6.91"/>
    <d v="2023-04-18T00:00:00"/>
    <d v="2023-04-21T00:00:00"/>
    <s v="Eric"/>
    <x v="21"/>
    <x v="13"/>
  </r>
  <r>
    <d v="2024-08-29T00:00:00"/>
    <x v="0"/>
    <x v="6"/>
    <n v="19"/>
    <n v="448.21"/>
    <s v="Store C"/>
    <s v="Wholesale"/>
    <n v="0.1"/>
    <x v="1"/>
    <n v="7664.3909999999996"/>
    <s v="Debit Card"/>
    <s v="WINTER15"/>
    <n v="0"/>
    <s v="REG101008"/>
    <s v="Cust 3829"/>
    <n v="30.71"/>
    <d v="2024-08-29T00:00:00"/>
    <d v="2024-09-03T00:00:00"/>
    <s v="Eric"/>
    <x v="29"/>
    <x v="8"/>
  </r>
  <r>
    <d v="2023-09-03T00:00:00"/>
    <x v="2"/>
    <x v="2"/>
    <n v="16"/>
    <n v="440.48"/>
    <s v="Store B"/>
    <s v="Retail"/>
    <n v="0.05"/>
    <x v="2"/>
    <n v="6695.2960000000003"/>
    <s v="Cash"/>
    <s v="FREESHIP"/>
    <n v="1"/>
    <s v="REG101009"/>
    <s v="Cust 2561"/>
    <n v="26.87"/>
    <d v="2023-09-03T00:00:00"/>
    <d v="2023-09-10T00:00:00"/>
    <s v="Ryan"/>
    <x v="22"/>
    <x v="14"/>
  </r>
  <r>
    <d v="2025-05-19T00:00:00"/>
    <x v="0"/>
    <x v="0"/>
    <n v="8"/>
    <n v="262.62"/>
    <s v="Store C"/>
    <s v="Wholesale"/>
    <n v="0"/>
    <x v="1"/>
    <n v="2100.96"/>
    <s v="Cash"/>
    <s v="FREESHIP"/>
    <n v="1"/>
    <s v="REG101010"/>
    <s v="Cust 8387"/>
    <n v="36.729999999999997"/>
    <d v="2025-05-19T00:00:00"/>
    <d v="2025-05-24T00:00:00"/>
    <s v="Eric"/>
    <x v="13"/>
    <x v="10"/>
  </r>
  <r>
    <d v="2023-06-18T00:00:00"/>
    <x v="0"/>
    <x v="5"/>
    <n v="15"/>
    <n v="124.91"/>
    <s v="Store A"/>
    <s v="Wholesale"/>
    <n v="0.1"/>
    <x v="0"/>
    <n v="1686.2850000000001"/>
    <s v="Gift Card"/>
    <s v="FREESHIP"/>
    <n v="0"/>
    <s v="REG101011"/>
    <s v="Cust 2860"/>
    <n v="31.95"/>
    <d v="2023-06-18T00:00:00"/>
    <d v="2023-06-26T00:00:00"/>
    <s v="Eric"/>
    <x v="4"/>
    <x v="2"/>
  </r>
  <r>
    <d v="2025-06-18T00:00:00"/>
    <x v="4"/>
    <x v="4"/>
    <n v="9"/>
    <n v="391"/>
    <s v="Store D"/>
    <s v="Wholesale"/>
    <n v="0.1"/>
    <x v="0"/>
    <n v="3167.1"/>
    <s v="Debit Card"/>
    <s v="WINTER15"/>
    <n v="0"/>
    <s v="REG101012"/>
    <s v="Cust 7794"/>
    <n v="46.76"/>
    <d v="2025-06-18T00:00:00"/>
    <d v="2025-06-22T00:00:00"/>
    <s v="Wendy"/>
    <x v="16"/>
    <x v="10"/>
  </r>
  <r>
    <d v="2024-09-29T00:00:00"/>
    <x v="1"/>
    <x v="0"/>
    <n v="12"/>
    <n v="204.15"/>
    <s v="Store C"/>
    <s v="Retail"/>
    <n v="0.05"/>
    <x v="1"/>
    <n v="2327.31"/>
    <s v="Debit Card"/>
    <s v="FREESHIP"/>
    <n v="1"/>
    <s v="REG101013"/>
    <s v="Cust 6075"/>
    <n v="26.4"/>
    <d v="2024-09-29T00:00:00"/>
    <d v="2024-10-07T00:00:00"/>
    <s v="Sophie"/>
    <x v="26"/>
    <x v="5"/>
  </r>
  <r>
    <d v="2024-02-25T00:00:00"/>
    <x v="0"/>
    <x v="0"/>
    <n v="20"/>
    <n v="13.64"/>
    <s v="Store C"/>
    <s v="Retail"/>
    <n v="0.15"/>
    <x v="2"/>
    <n v="231.88"/>
    <s v="Credit Card"/>
    <s v="SAVE10"/>
    <n v="0"/>
    <s v="REG101014"/>
    <s v="Cust 4337"/>
    <n v="33.6"/>
    <d v="2024-02-25T00:00:00"/>
    <d v="2024-03-04T00:00:00"/>
    <s v="Eric"/>
    <x v="5"/>
    <x v="4"/>
  </r>
  <r>
    <d v="2024-03-21T00:00:00"/>
    <x v="2"/>
    <x v="6"/>
    <n v="14"/>
    <n v="524.9"/>
    <s v="Store C"/>
    <s v="Wholesale"/>
    <n v="0.05"/>
    <x v="1"/>
    <n v="6981.1699999999992"/>
    <s v="Cash"/>
    <s v="FREESHIP"/>
    <n v="1"/>
    <s v="REG101015"/>
    <s v="Cust 2540"/>
    <n v="20.23"/>
    <d v="2024-03-21T00:00:00"/>
    <d v="2024-03-30T00:00:00"/>
    <s v="Ryan"/>
    <x v="25"/>
    <x v="7"/>
  </r>
  <r>
    <d v="2024-02-03T00:00:00"/>
    <x v="2"/>
    <x v="0"/>
    <n v="8"/>
    <n v="143.94999999999999"/>
    <s v="Store B"/>
    <s v="Retail"/>
    <n v="0.1"/>
    <x v="4"/>
    <n v="1036.44"/>
    <s v="Cash"/>
    <s v="SAVE10"/>
    <n v="0"/>
    <s v="REG101016"/>
    <s v="Cust 3944"/>
    <n v="28.09"/>
    <d v="2024-02-03T00:00:00"/>
    <d v="2024-02-09T00:00:00"/>
    <s v="Ryan"/>
    <x v="5"/>
    <x v="4"/>
  </r>
  <r>
    <d v="2023-11-21T00:00:00"/>
    <x v="1"/>
    <x v="0"/>
    <n v="2"/>
    <n v="576.84"/>
    <s v="Store D"/>
    <s v="Retail"/>
    <n v="0.1"/>
    <x v="2"/>
    <n v="1038.3119999999999"/>
    <s v="Credit Card"/>
    <s v="FREESHIP"/>
    <n v="0"/>
    <s v="REG101017"/>
    <s v="Cust 8876"/>
    <n v="43.32"/>
    <d v="2023-11-21T00:00:00"/>
    <d v="2023-11-24T00:00:00"/>
    <s v="Sophie"/>
    <x v="15"/>
    <x v="12"/>
  </r>
  <r>
    <d v="2023-01-10T00:00:00"/>
    <x v="4"/>
    <x v="3"/>
    <n v="14"/>
    <n v="250.98"/>
    <s v="Store C"/>
    <s v="Retail"/>
    <n v="0"/>
    <x v="0"/>
    <n v="3513.72"/>
    <s v="Debit Card"/>
    <m/>
    <n v="0"/>
    <s v="REG101018"/>
    <s v="Cust 3286"/>
    <n v="14.94"/>
    <d v="2023-01-10T00:00:00"/>
    <d v="2023-01-18T00:00:00"/>
    <s v="Wendy"/>
    <x v="6"/>
    <x v="0"/>
  </r>
  <r>
    <d v="2023-02-06T00:00:00"/>
    <x v="3"/>
    <x v="1"/>
    <n v="7"/>
    <n v="335.41"/>
    <s v="Store C"/>
    <s v="Retail"/>
    <n v="0"/>
    <x v="5"/>
    <n v="2347.87"/>
    <s v="Online"/>
    <s v="SAVE10"/>
    <n v="0"/>
    <s v="REG101019"/>
    <s v="Cust 4990"/>
    <n v="18.91"/>
    <d v="2023-02-06T00:00:00"/>
    <d v="2023-02-10T00:00:00"/>
    <s v="Cameron"/>
    <x v="0"/>
    <x v="0"/>
  </r>
  <r>
    <d v="2025-04-10T00:00:00"/>
    <x v="2"/>
    <x v="6"/>
    <n v="11"/>
    <n v="204.5"/>
    <s v="Store A"/>
    <s v="Retail"/>
    <n v="0"/>
    <x v="0"/>
    <n v="2249.5"/>
    <s v="Debit Card"/>
    <s v="WINTER15"/>
    <n v="0"/>
    <s v="REG101020"/>
    <s v="Cust 8706"/>
    <n v="13.82"/>
    <d v="2025-04-10T00:00:00"/>
    <d v="2025-04-20T00:00:00"/>
    <s v="Ryan"/>
    <x v="28"/>
    <x v="6"/>
  </r>
  <r>
    <d v="2024-02-14T00:00:00"/>
    <x v="0"/>
    <x v="5"/>
    <n v="1"/>
    <n v="542.63"/>
    <s v="Store A"/>
    <s v="Retail"/>
    <n v="0.05"/>
    <x v="3"/>
    <n v="515.49849999999992"/>
    <s v="Credit Card"/>
    <m/>
    <n v="0"/>
    <s v="REG101021"/>
    <s v="Cust 2608"/>
    <n v="33.200000000000003"/>
    <d v="2024-02-14T00:00:00"/>
    <d v="2024-02-21T00:00:00"/>
    <s v="Eric"/>
    <x v="5"/>
    <x v="4"/>
  </r>
  <r>
    <d v="2025-05-26T00:00:00"/>
    <x v="0"/>
    <x v="1"/>
    <n v="1"/>
    <n v="204.54"/>
    <s v="Store D"/>
    <s v="Retail"/>
    <n v="0.1"/>
    <x v="3"/>
    <n v="184.08600000000001"/>
    <s v="Online"/>
    <m/>
    <n v="1"/>
    <s v="REG101022"/>
    <s v="Cust 3290"/>
    <n v="17.760000000000002"/>
    <d v="2025-05-26T00:00:00"/>
    <d v="2025-05-29T00:00:00"/>
    <s v="Eric"/>
    <x v="13"/>
    <x v="10"/>
  </r>
  <r>
    <d v="2023-09-12T00:00:00"/>
    <x v="4"/>
    <x v="3"/>
    <n v="10"/>
    <n v="419.58"/>
    <s v="Store A"/>
    <s v="Wholesale"/>
    <n v="0.15"/>
    <x v="0"/>
    <n v="3566.43"/>
    <s v="Debit Card"/>
    <s v="FREESHIP"/>
    <n v="0"/>
    <s v="REG101023"/>
    <s v="Cust 3892"/>
    <n v="13.09"/>
    <d v="2023-09-12T00:00:00"/>
    <d v="2023-09-19T00:00:00"/>
    <s v="Wendy"/>
    <x v="22"/>
    <x v="14"/>
  </r>
  <r>
    <d v="2023-05-17T00:00:00"/>
    <x v="0"/>
    <x v="2"/>
    <n v="7"/>
    <n v="87.88"/>
    <s v="Store C"/>
    <s v="Wholesale"/>
    <n v="0.15"/>
    <x v="1"/>
    <n v="522.88599999999997"/>
    <s v="Online"/>
    <s v="WINTER15"/>
    <n v="1"/>
    <s v="REG101024"/>
    <s v="Cust 6979"/>
    <n v="22.2"/>
    <d v="2023-05-17T00:00:00"/>
    <d v="2023-05-26T00:00:00"/>
    <s v="Eric"/>
    <x v="2"/>
    <x v="2"/>
  </r>
  <r>
    <d v="2024-01-29T00:00:00"/>
    <x v="4"/>
    <x v="6"/>
    <n v="7"/>
    <n v="386.88"/>
    <s v="Store B"/>
    <s v="Wholesale"/>
    <n v="0.05"/>
    <x v="3"/>
    <n v="2572.752"/>
    <s v="Cash"/>
    <s v="SAVE10"/>
    <n v="0"/>
    <s v="REG101025"/>
    <s v="Cust 9375"/>
    <n v="38.46"/>
    <d v="2024-01-29T00:00:00"/>
    <d v="2024-01-31T00:00:00"/>
    <s v="Wendy"/>
    <x v="24"/>
    <x v="4"/>
  </r>
  <r>
    <d v="2025-05-09T00:00:00"/>
    <x v="2"/>
    <x v="2"/>
    <n v="4"/>
    <n v="242.8"/>
    <s v="Store D"/>
    <s v="Wholesale"/>
    <n v="0.05"/>
    <x v="4"/>
    <n v="922.64"/>
    <s v="Debit Card"/>
    <s v="FREESHIP"/>
    <n v="0"/>
    <s v="REG101026"/>
    <s v="Cust 9311"/>
    <n v="30.03"/>
    <d v="2025-05-09T00:00:00"/>
    <d v="2025-05-18T00:00:00"/>
    <s v="Ryan"/>
    <x v="13"/>
    <x v="10"/>
  </r>
  <r>
    <d v="2024-04-05T00:00:00"/>
    <x v="0"/>
    <x v="6"/>
    <n v="4"/>
    <n v="410.59"/>
    <s v="Store A"/>
    <s v="Retail"/>
    <n v="0"/>
    <x v="0"/>
    <n v="1642.36"/>
    <s v="Cash"/>
    <m/>
    <n v="0"/>
    <s v="REG101027"/>
    <s v="Cust 4097"/>
    <n v="17.36"/>
    <d v="2024-04-05T00:00:00"/>
    <d v="2024-04-09T00:00:00"/>
    <s v="Eric"/>
    <x v="9"/>
    <x v="7"/>
  </r>
  <r>
    <d v="2024-08-01T00:00:00"/>
    <x v="1"/>
    <x v="3"/>
    <n v="3"/>
    <n v="10.93"/>
    <s v="Store D"/>
    <s v="Wholesale"/>
    <n v="0.15"/>
    <x v="0"/>
    <n v="27.871500000000001"/>
    <s v="Cash"/>
    <s v="FREESHIP"/>
    <n v="0"/>
    <s v="REG101028"/>
    <s v="Cust 6145"/>
    <n v="19.010000000000002"/>
    <d v="2024-08-01T00:00:00"/>
    <d v="2024-08-10T00:00:00"/>
    <s v="Sophie"/>
    <x v="29"/>
    <x v="8"/>
  </r>
  <r>
    <d v="2024-07-10T00:00:00"/>
    <x v="1"/>
    <x v="3"/>
    <n v="20"/>
    <n v="150.16"/>
    <s v="Store C"/>
    <s v="Wholesale"/>
    <n v="0"/>
    <x v="5"/>
    <n v="3003.2"/>
    <s v="Cash"/>
    <m/>
    <n v="0"/>
    <s v="REG101029"/>
    <s v="Cust 8124"/>
    <n v="41.66"/>
    <d v="2024-07-10T00:00:00"/>
    <d v="2024-07-12T00:00:00"/>
    <s v="Sophie"/>
    <x v="10"/>
    <x v="8"/>
  </r>
  <r>
    <d v="2024-06-15T00:00:00"/>
    <x v="0"/>
    <x v="3"/>
    <n v="1"/>
    <n v="394.41"/>
    <s v="Store B"/>
    <s v="Retail"/>
    <n v="0.1"/>
    <x v="1"/>
    <n v="354.96900000000011"/>
    <s v="Gift Card"/>
    <s v="WINTER15"/>
    <n v="0"/>
    <s v="REG101030"/>
    <s v="Cust 7826"/>
    <n v="6.37"/>
    <d v="2024-06-15T00:00:00"/>
    <d v="2024-06-20T00:00:00"/>
    <s v="Eric"/>
    <x v="23"/>
    <x v="11"/>
  </r>
  <r>
    <d v="2024-05-22T00:00:00"/>
    <x v="0"/>
    <x v="4"/>
    <n v="6"/>
    <n v="535.38"/>
    <s v="Store C"/>
    <s v="Wholesale"/>
    <n v="0.15"/>
    <x v="1"/>
    <n v="2730.4380000000001"/>
    <s v="Online"/>
    <m/>
    <n v="0"/>
    <s v="REG101031"/>
    <s v="Cust 3472"/>
    <n v="48.66"/>
    <d v="2024-05-22T00:00:00"/>
    <d v="2024-05-29T00:00:00"/>
    <s v="Eric"/>
    <x v="14"/>
    <x v="11"/>
  </r>
  <r>
    <d v="2024-01-14T00:00:00"/>
    <x v="0"/>
    <x v="4"/>
    <n v="19"/>
    <n v="407.82"/>
    <s v="Store D"/>
    <s v="Retail"/>
    <n v="0.05"/>
    <x v="4"/>
    <n v="7361.1509999999998"/>
    <s v="Gift Card"/>
    <s v="FREESHIP"/>
    <n v="0"/>
    <s v="REG101032"/>
    <s v="Cust 4266"/>
    <n v="38.979999999999997"/>
    <d v="2024-01-14T00:00:00"/>
    <d v="2024-01-18T00:00:00"/>
    <s v="Eric"/>
    <x v="24"/>
    <x v="4"/>
  </r>
  <r>
    <d v="2024-10-31T00:00:00"/>
    <x v="2"/>
    <x v="5"/>
    <n v="16"/>
    <n v="120.83"/>
    <s v="Store B"/>
    <s v="Retail"/>
    <n v="0.05"/>
    <x v="3"/>
    <n v="1836.616"/>
    <s v="Cash"/>
    <s v="WINTER15"/>
    <n v="1"/>
    <s v="REG101033"/>
    <s v="Cust 8492"/>
    <n v="39.64"/>
    <d v="2024-10-31T00:00:00"/>
    <d v="2024-11-02T00:00:00"/>
    <s v="Ryan"/>
    <x v="7"/>
    <x v="1"/>
  </r>
  <r>
    <d v="2024-04-23T00:00:00"/>
    <x v="4"/>
    <x v="6"/>
    <n v="7"/>
    <n v="39.53"/>
    <s v="Store D"/>
    <s v="Retail"/>
    <n v="0.1"/>
    <x v="3"/>
    <n v="249.03899999999999"/>
    <s v="Debit Card"/>
    <s v="WINTER15"/>
    <n v="0"/>
    <s v="REG101034"/>
    <s v="Cust 7354"/>
    <n v="18.16"/>
    <d v="2024-04-23T00:00:00"/>
    <d v="2024-04-29T00:00:00"/>
    <s v="Wendy"/>
    <x v="9"/>
    <x v="7"/>
  </r>
  <r>
    <d v="2023-06-14T00:00:00"/>
    <x v="1"/>
    <x v="5"/>
    <n v="2"/>
    <n v="224.08"/>
    <s v="Store A"/>
    <s v="Retail"/>
    <n v="0.05"/>
    <x v="2"/>
    <n v="425.75200000000001"/>
    <s v="Credit Card"/>
    <s v="WINTER15"/>
    <n v="0"/>
    <s v="REG101035"/>
    <s v="Cust 6672"/>
    <n v="47.35"/>
    <d v="2023-06-14T00:00:00"/>
    <d v="2023-06-20T00:00:00"/>
    <s v="Sophie"/>
    <x v="4"/>
    <x v="2"/>
  </r>
  <r>
    <d v="2024-02-28T00:00:00"/>
    <x v="2"/>
    <x v="6"/>
    <n v="11"/>
    <n v="382.08"/>
    <s v="Store D"/>
    <s v="Wholesale"/>
    <n v="0.05"/>
    <x v="2"/>
    <n v="3992.7359999999999"/>
    <s v="Cash"/>
    <s v="WINTER15"/>
    <n v="0"/>
    <s v="REG101036"/>
    <s v="Cust 5589"/>
    <n v="5.95"/>
    <d v="2024-02-28T00:00:00"/>
    <d v="2024-03-02T00:00:00"/>
    <s v="Ryan"/>
    <x v="5"/>
    <x v="4"/>
  </r>
  <r>
    <d v="2024-06-19T00:00:00"/>
    <x v="1"/>
    <x v="6"/>
    <n v="9"/>
    <n v="88.49"/>
    <s v="Store D"/>
    <s v="Wholesale"/>
    <n v="0.05"/>
    <x v="4"/>
    <n v="756.58949999999993"/>
    <s v="Online"/>
    <m/>
    <n v="0"/>
    <s v="REG101037"/>
    <s v="Cust 2770"/>
    <n v="35.6"/>
    <d v="2024-06-19T00:00:00"/>
    <d v="2024-06-26T00:00:00"/>
    <s v="Sophie"/>
    <x v="23"/>
    <x v="11"/>
  </r>
  <r>
    <d v="2023-03-18T00:00:00"/>
    <x v="3"/>
    <x v="5"/>
    <n v="20"/>
    <n v="139.1"/>
    <s v="Store C"/>
    <s v="Wholesale"/>
    <n v="0.05"/>
    <x v="3"/>
    <n v="2642.9"/>
    <s v="Online"/>
    <s v="FREESHIP"/>
    <n v="0"/>
    <s v="REG101038"/>
    <s v="Cust 7206"/>
    <n v="30.22"/>
    <d v="2023-03-18T00:00:00"/>
    <d v="2023-03-20T00:00:00"/>
    <s v="Cameron"/>
    <x v="17"/>
    <x v="13"/>
  </r>
  <r>
    <d v="2023-03-21T00:00:00"/>
    <x v="4"/>
    <x v="2"/>
    <n v="19"/>
    <n v="322.35000000000002"/>
    <s v="Store D"/>
    <s v="Wholesale"/>
    <n v="0.1"/>
    <x v="1"/>
    <n v="5512.1850000000004"/>
    <s v="Debit Card"/>
    <s v="WINTER15"/>
    <n v="0"/>
    <s v="REG101039"/>
    <s v="Cust 1580"/>
    <n v="30.06"/>
    <d v="2023-03-21T00:00:00"/>
    <d v="2023-03-31T00:00:00"/>
    <s v="Wendy"/>
    <x v="17"/>
    <x v="13"/>
  </r>
  <r>
    <d v="2024-05-28T00:00:00"/>
    <x v="0"/>
    <x v="6"/>
    <n v="16"/>
    <n v="334.55"/>
    <s v="Store B"/>
    <s v="Wholesale"/>
    <n v="0.1"/>
    <x v="0"/>
    <n v="4817.5200000000004"/>
    <s v="Credit Card"/>
    <s v="SAVE10"/>
    <n v="0"/>
    <s v="REG101040"/>
    <s v="Cust 5313"/>
    <n v="37.42"/>
    <d v="2024-05-28T00:00:00"/>
    <d v="2024-06-01T00:00:00"/>
    <s v="Eric"/>
    <x v="14"/>
    <x v="11"/>
  </r>
  <r>
    <d v="2023-03-27T00:00:00"/>
    <x v="4"/>
    <x v="2"/>
    <n v="20"/>
    <n v="332.48"/>
    <s v="Store B"/>
    <s v="Wholesale"/>
    <n v="0"/>
    <x v="0"/>
    <n v="6649.6"/>
    <s v="Online"/>
    <s v="SAVE10"/>
    <n v="1"/>
    <s v="REG101041"/>
    <s v="Cust 4209"/>
    <n v="7.79"/>
    <d v="2023-03-27T00:00:00"/>
    <d v="2023-03-30T00:00:00"/>
    <s v="Wendy"/>
    <x v="17"/>
    <x v="13"/>
  </r>
  <r>
    <d v="2023-06-19T00:00:00"/>
    <x v="3"/>
    <x v="6"/>
    <n v="1"/>
    <n v="123.4"/>
    <s v="Store A"/>
    <s v="Retail"/>
    <n v="0"/>
    <x v="0"/>
    <n v="123.4"/>
    <s v="Cash"/>
    <m/>
    <n v="1"/>
    <s v="REG101042"/>
    <s v="Cust 5861"/>
    <n v="12.63"/>
    <d v="2023-06-19T00:00:00"/>
    <d v="2023-06-25T00:00:00"/>
    <s v="Cameron"/>
    <x v="4"/>
    <x v="2"/>
  </r>
  <r>
    <d v="2023-10-31T00:00:00"/>
    <x v="1"/>
    <x v="0"/>
    <n v="3"/>
    <n v="88.26"/>
    <s v="Store D"/>
    <s v="Wholesale"/>
    <n v="0.05"/>
    <x v="5"/>
    <n v="251.541"/>
    <s v="Debit Card"/>
    <s v="FREESHIP"/>
    <n v="0"/>
    <s v="REG101043"/>
    <s v="Cust 6348"/>
    <n v="46.45"/>
    <d v="2023-10-31T00:00:00"/>
    <d v="2023-11-07T00:00:00"/>
    <s v="Sophie"/>
    <x v="19"/>
    <x v="14"/>
  </r>
  <r>
    <d v="2023-07-11T00:00:00"/>
    <x v="4"/>
    <x v="1"/>
    <n v="13"/>
    <n v="50.51"/>
    <s v="Store D"/>
    <s v="Wholesale"/>
    <n v="0.1"/>
    <x v="1"/>
    <n v="590.96699999999998"/>
    <s v="Debit Card"/>
    <s v="WINTER15"/>
    <n v="0"/>
    <s v="REG101044"/>
    <s v="Cust 5210"/>
    <n v="40.57"/>
    <d v="2023-07-11T00:00:00"/>
    <d v="2023-07-18T00:00:00"/>
    <s v="Wendy"/>
    <x v="11"/>
    <x v="9"/>
  </r>
  <r>
    <d v="2023-05-19T00:00:00"/>
    <x v="1"/>
    <x v="4"/>
    <n v="11"/>
    <n v="237.99"/>
    <s v="Store D"/>
    <s v="Wholesale"/>
    <n v="0.05"/>
    <x v="5"/>
    <n v="2486.9955"/>
    <s v="Debit Card"/>
    <s v="FREESHIP"/>
    <n v="0"/>
    <s v="REG101045"/>
    <s v="Cust 7325"/>
    <n v="44.7"/>
    <d v="2023-05-19T00:00:00"/>
    <d v="2023-05-28T00:00:00"/>
    <s v="Sophie"/>
    <x v="2"/>
    <x v="2"/>
  </r>
  <r>
    <d v="2023-08-05T00:00:00"/>
    <x v="2"/>
    <x v="3"/>
    <n v="7"/>
    <n v="294.95"/>
    <s v="Store D"/>
    <s v="Wholesale"/>
    <n v="0"/>
    <x v="2"/>
    <n v="2064.65"/>
    <s v="Online"/>
    <s v="FREESHIP"/>
    <n v="0"/>
    <s v="REG101046"/>
    <s v="Cust 5818"/>
    <n v="15.78"/>
    <d v="2023-08-05T00:00:00"/>
    <d v="2023-08-10T00:00:00"/>
    <s v="Ryan"/>
    <x v="18"/>
    <x v="9"/>
  </r>
  <r>
    <d v="2023-03-24T00:00:00"/>
    <x v="4"/>
    <x v="2"/>
    <n v="8"/>
    <n v="384.3"/>
    <s v="Store C"/>
    <s v="Wholesale"/>
    <n v="0.1"/>
    <x v="2"/>
    <n v="2766.96"/>
    <s v="Gift Card"/>
    <s v="FREESHIP"/>
    <n v="0"/>
    <s v="REG101047"/>
    <s v="Cust 7773"/>
    <n v="48.83"/>
    <d v="2023-03-24T00:00:00"/>
    <d v="2023-04-03T00:00:00"/>
    <s v="Wendy"/>
    <x v="17"/>
    <x v="13"/>
  </r>
  <r>
    <d v="2025-02-14T00:00:00"/>
    <x v="4"/>
    <x v="4"/>
    <n v="1"/>
    <n v="378.35"/>
    <s v="Store C"/>
    <s v="Wholesale"/>
    <n v="0.05"/>
    <x v="4"/>
    <n v="359.4325"/>
    <s v="Cash"/>
    <s v="FREESHIP"/>
    <n v="0"/>
    <s v="REG101048"/>
    <s v="Cust 3960"/>
    <n v="20.97"/>
    <d v="2025-02-14T00:00:00"/>
    <d v="2025-02-17T00:00:00"/>
    <s v="Wendy"/>
    <x v="3"/>
    <x v="3"/>
  </r>
  <r>
    <d v="2024-12-14T00:00:00"/>
    <x v="2"/>
    <x v="2"/>
    <n v="1"/>
    <n v="461.35"/>
    <s v="Store D"/>
    <s v="Retail"/>
    <n v="0"/>
    <x v="5"/>
    <n v="461.35"/>
    <s v="Debit Card"/>
    <s v="FREESHIP"/>
    <n v="1"/>
    <s v="REG101049"/>
    <s v="Cust 4496"/>
    <n v="43.74"/>
    <d v="2024-12-14T00:00:00"/>
    <d v="2024-12-16T00:00:00"/>
    <s v="Ryan"/>
    <x v="1"/>
    <x v="1"/>
  </r>
  <r>
    <d v="2023-06-28T00:00:00"/>
    <x v="1"/>
    <x v="6"/>
    <n v="20"/>
    <n v="354.9"/>
    <s v="Store A"/>
    <s v="Wholesale"/>
    <n v="0"/>
    <x v="5"/>
    <n v="7098"/>
    <s v="Gift Card"/>
    <s v="WINTER15"/>
    <n v="0"/>
    <s v="REG101050"/>
    <s v="Cust 3875"/>
    <n v="43.24"/>
    <d v="2023-06-28T00:00:00"/>
    <d v="2023-07-01T00:00:00"/>
    <s v="Sophie"/>
    <x v="4"/>
    <x v="2"/>
  </r>
  <r>
    <d v="2023-01-24T00:00:00"/>
    <x v="4"/>
    <x v="2"/>
    <n v="7"/>
    <n v="438.41"/>
    <s v="Store C"/>
    <s v="Retail"/>
    <n v="0.1"/>
    <x v="4"/>
    <n v="2761.9830000000002"/>
    <s v="Debit Card"/>
    <s v="SAVE10"/>
    <n v="1"/>
    <s v="REG101051"/>
    <s v="Cust 7232"/>
    <n v="47.77"/>
    <d v="2023-01-24T00:00:00"/>
    <d v="2023-01-28T00:00:00"/>
    <s v="Wendy"/>
    <x v="6"/>
    <x v="0"/>
  </r>
  <r>
    <d v="2024-06-21T00:00:00"/>
    <x v="3"/>
    <x v="5"/>
    <n v="14"/>
    <n v="542.6"/>
    <s v="Store C"/>
    <s v="Retail"/>
    <n v="0.05"/>
    <x v="0"/>
    <n v="7216.58"/>
    <s v="Debit Card"/>
    <m/>
    <n v="0"/>
    <s v="REG101052"/>
    <s v="Cust 2137"/>
    <n v="44.76"/>
    <d v="2024-06-21T00:00:00"/>
    <d v="2024-06-30T00:00:00"/>
    <s v="Cameron"/>
    <x v="23"/>
    <x v="11"/>
  </r>
  <r>
    <d v="2025-04-09T00:00:00"/>
    <x v="2"/>
    <x v="6"/>
    <n v="3"/>
    <n v="238.82"/>
    <s v="Store C"/>
    <s v="Retail"/>
    <n v="0.1"/>
    <x v="5"/>
    <n v="644.81400000000008"/>
    <s v="Gift Card"/>
    <s v="WINTER15"/>
    <n v="0"/>
    <s v="REG101053"/>
    <s v="Cust 4537"/>
    <n v="37.07"/>
    <d v="2025-04-09T00:00:00"/>
    <d v="2025-04-18T00:00:00"/>
    <s v="Ryan"/>
    <x v="28"/>
    <x v="6"/>
  </r>
  <r>
    <d v="2025-01-11T00:00:00"/>
    <x v="2"/>
    <x v="5"/>
    <n v="16"/>
    <n v="332.19"/>
    <s v="Store C"/>
    <s v="Retail"/>
    <n v="0.1"/>
    <x v="0"/>
    <n v="4783.5360000000001"/>
    <s v="Credit Card"/>
    <s v="SAVE10"/>
    <n v="1"/>
    <s v="REG101054"/>
    <s v="Cust 6274"/>
    <n v="34.97"/>
    <d v="2025-01-11T00:00:00"/>
    <d v="2025-01-19T00:00:00"/>
    <s v="Ryan"/>
    <x v="12"/>
    <x v="3"/>
  </r>
  <r>
    <d v="2024-07-13T00:00:00"/>
    <x v="3"/>
    <x v="6"/>
    <n v="9"/>
    <n v="454.6"/>
    <s v="Store D"/>
    <s v="Wholesale"/>
    <n v="0.05"/>
    <x v="3"/>
    <n v="3886.83"/>
    <s v="Debit Card"/>
    <m/>
    <n v="0"/>
    <s v="REG101055"/>
    <s v="Cust 3810"/>
    <n v="32.86"/>
    <d v="2024-07-13T00:00:00"/>
    <d v="2024-07-20T00:00:00"/>
    <s v="Cameron"/>
    <x v="10"/>
    <x v="8"/>
  </r>
  <r>
    <d v="2025-01-04T00:00:00"/>
    <x v="4"/>
    <x v="6"/>
    <n v="6"/>
    <n v="540.54"/>
    <s v="Store A"/>
    <s v="Retail"/>
    <n v="0.05"/>
    <x v="3"/>
    <n v="3081.078"/>
    <s v="Debit Card"/>
    <s v="SAVE10"/>
    <n v="0"/>
    <s v="REG101056"/>
    <s v="Cust 5002"/>
    <n v="19.77"/>
    <d v="2025-01-04T00:00:00"/>
    <d v="2025-01-10T00:00:00"/>
    <s v="Wendy"/>
    <x v="12"/>
    <x v="3"/>
  </r>
  <r>
    <d v="2023-10-25T00:00:00"/>
    <x v="4"/>
    <x v="2"/>
    <n v="14"/>
    <n v="147.37"/>
    <s v="Store D"/>
    <s v="Wholesale"/>
    <n v="0.15"/>
    <x v="2"/>
    <n v="1753.703"/>
    <s v="Debit Card"/>
    <s v="WINTER15"/>
    <n v="1"/>
    <s v="REG101057"/>
    <s v="Cust 8551"/>
    <n v="45.75"/>
    <d v="2023-10-25T00:00:00"/>
    <d v="2023-10-31T00:00:00"/>
    <s v="Wendy"/>
    <x v="19"/>
    <x v="14"/>
  </r>
  <r>
    <d v="2023-09-30T00:00:00"/>
    <x v="1"/>
    <x v="0"/>
    <n v="7"/>
    <n v="421.12"/>
    <s v="Store D"/>
    <s v="Wholesale"/>
    <n v="0.15"/>
    <x v="4"/>
    <n v="2505.6640000000002"/>
    <s v="Gift Card"/>
    <m/>
    <n v="0"/>
    <s v="REG101058"/>
    <s v="Cust 8837"/>
    <n v="44.49"/>
    <d v="2023-09-30T00:00:00"/>
    <d v="2023-10-02T00:00:00"/>
    <s v="Sophie"/>
    <x v="22"/>
    <x v="14"/>
  </r>
  <r>
    <d v="2023-03-16T00:00:00"/>
    <x v="2"/>
    <x v="1"/>
    <n v="20"/>
    <n v="436.32"/>
    <s v="Store D"/>
    <s v="Retail"/>
    <n v="0"/>
    <x v="4"/>
    <n v="8726.4"/>
    <s v="Credit Card"/>
    <s v="FREESHIP"/>
    <n v="1"/>
    <s v="REG101059"/>
    <s v="Cust 6523"/>
    <n v="37.49"/>
    <d v="2023-03-16T00:00:00"/>
    <d v="2023-03-26T00:00:00"/>
    <s v="Ryan"/>
    <x v="17"/>
    <x v="13"/>
  </r>
  <r>
    <d v="2023-07-26T00:00:00"/>
    <x v="2"/>
    <x v="0"/>
    <n v="18"/>
    <n v="436.83"/>
    <s v="Store A"/>
    <s v="Wholesale"/>
    <n v="0.1"/>
    <x v="5"/>
    <n v="7076.6459999999997"/>
    <s v="Credit Card"/>
    <s v="SAVE10"/>
    <n v="0"/>
    <s v="REG101060"/>
    <s v="Cust 1947"/>
    <n v="28.8"/>
    <d v="2023-07-26T00:00:00"/>
    <d v="2023-08-02T00:00:00"/>
    <s v="Ryan"/>
    <x v="11"/>
    <x v="9"/>
  </r>
  <r>
    <d v="2023-07-10T00:00:00"/>
    <x v="0"/>
    <x v="4"/>
    <n v="2"/>
    <n v="327.57"/>
    <s v="Store A"/>
    <s v="Retail"/>
    <n v="0.05"/>
    <x v="4"/>
    <n v="622.38299999999992"/>
    <s v="Debit Card"/>
    <m/>
    <n v="0"/>
    <s v="REG101061"/>
    <s v="Cust 3440"/>
    <n v="19.489999999999998"/>
    <d v="2023-07-10T00:00:00"/>
    <d v="2023-07-19T00:00:00"/>
    <s v="Eric"/>
    <x v="11"/>
    <x v="9"/>
  </r>
  <r>
    <d v="2024-08-06T00:00:00"/>
    <x v="0"/>
    <x v="6"/>
    <n v="18"/>
    <n v="166.92"/>
    <s v="Store C"/>
    <s v="Wholesale"/>
    <n v="0.05"/>
    <x v="1"/>
    <n v="2854.3319999999999"/>
    <s v="Gift Card"/>
    <s v="WINTER15"/>
    <n v="0"/>
    <s v="REG101062"/>
    <s v="Cust 4102"/>
    <n v="9.35"/>
    <d v="2024-08-06T00:00:00"/>
    <d v="2024-08-16T00:00:00"/>
    <s v="Eric"/>
    <x v="29"/>
    <x v="8"/>
  </r>
  <r>
    <d v="2024-07-16T00:00:00"/>
    <x v="3"/>
    <x v="1"/>
    <n v="14"/>
    <n v="300.38"/>
    <s v="Store A"/>
    <s v="Retail"/>
    <n v="0.1"/>
    <x v="1"/>
    <n v="3784.788"/>
    <s v="Online"/>
    <m/>
    <n v="0"/>
    <s v="REG101063"/>
    <s v="Cust 4145"/>
    <n v="38.6"/>
    <d v="2024-07-16T00:00:00"/>
    <d v="2024-07-19T00:00:00"/>
    <s v="Cameron"/>
    <x v="10"/>
    <x v="8"/>
  </r>
  <r>
    <d v="2024-01-31T00:00:00"/>
    <x v="2"/>
    <x v="6"/>
    <n v="5"/>
    <n v="232.29"/>
    <s v="Store A"/>
    <s v="Wholesale"/>
    <n v="0"/>
    <x v="1"/>
    <n v="1161.45"/>
    <s v="Online"/>
    <m/>
    <n v="1"/>
    <s v="REG101064"/>
    <s v="Cust 5206"/>
    <n v="42.38"/>
    <d v="2024-01-31T00:00:00"/>
    <d v="2024-02-09T00:00:00"/>
    <s v="Ryan"/>
    <x v="24"/>
    <x v="4"/>
  </r>
  <r>
    <d v="2023-04-22T00:00:00"/>
    <x v="3"/>
    <x v="5"/>
    <n v="1"/>
    <n v="173.44"/>
    <s v="Store A"/>
    <s v="Retail"/>
    <n v="0"/>
    <x v="5"/>
    <n v="173.44"/>
    <s v="Gift Card"/>
    <s v="FREESHIP"/>
    <n v="0"/>
    <s v="REG101065"/>
    <s v="Cust 4022"/>
    <n v="32.83"/>
    <d v="2023-04-22T00:00:00"/>
    <d v="2023-04-24T00:00:00"/>
    <s v="Cameron"/>
    <x v="21"/>
    <x v="13"/>
  </r>
  <r>
    <d v="2025-02-04T00:00:00"/>
    <x v="0"/>
    <x v="1"/>
    <n v="9"/>
    <n v="256.14"/>
    <s v="Store A"/>
    <s v="Retail"/>
    <n v="0.15"/>
    <x v="2"/>
    <n v="1959.471"/>
    <s v="Credit Card"/>
    <s v="SAVE10"/>
    <n v="1"/>
    <s v="REG101066"/>
    <s v="Cust 8676"/>
    <n v="5.21"/>
    <d v="2025-02-04T00:00:00"/>
    <d v="2025-02-07T00:00:00"/>
    <s v="Eric"/>
    <x v="3"/>
    <x v="3"/>
  </r>
  <r>
    <d v="2024-08-25T00:00:00"/>
    <x v="3"/>
    <x v="0"/>
    <n v="12"/>
    <n v="461.3"/>
    <s v="Store D"/>
    <s v="Wholesale"/>
    <n v="0.15"/>
    <x v="4"/>
    <n v="4705.26"/>
    <s v="Gift Card"/>
    <s v="FREESHIP"/>
    <n v="0"/>
    <s v="REG101067"/>
    <s v="Cust 7492"/>
    <n v="8.6"/>
    <d v="2024-08-25T00:00:00"/>
    <d v="2024-09-03T00:00:00"/>
    <s v="Cameron"/>
    <x v="29"/>
    <x v="8"/>
  </r>
  <r>
    <d v="2023-08-30T00:00:00"/>
    <x v="0"/>
    <x v="1"/>
    <n v="1"/>
    <n v="193.08"/>
    <s v="Store A"/>
    <s v="Wholesale"/>
    <n v="0.05"/>
    <x v="2"/>
    <n v="183.42599999999999"/>
    <s v="Online"/>
    <s v="SAVE10"/>
    <n v="0"/>
    <s v="REG101068"/>
    <s v="Cust 3150"/>
    <n v="23.99"/>
    <d v="2023-08-30T00:00:00"/>
    <d v="2023-09-05T00:00:00"/>
    <s v="Eric"/>
    <x v="18"/>
    <x v="9"/>
  </r>
  <r>
    <d v="2023-09-06T00:00:00"/>
    <x v="4"/>
    <x v="3"/>
    <n v="3"/>
    <n v="312.97000000000003"/>
    <s v="Store C"/>
    <s v="Retail"/>
    <n v="0.05"/>
    <x v="0"/>
    <n v="891.96450000000004"/>
    <s v="Credit Card"/>
    <m/>
    <n v="1"/>
    <s v="REG101069"/>
    <s v="Cust 7872"/>
    <n v="20.059999999999999"/>
    <d v="2023-09-06T00:00:00"/>
    <d v="2023-09-12T00:00:00"/>
    <s v="Wendy"/>
    <x v="22"/>
    <x v="14"/>
  </r>
  <r>
    <d v="2025-05-13T00:00:00"/>
    <x v="1"/>
    <x v="0"/>
    <n v="6"/>
    <n v="214.14"/>
    <s v="Store D"/>
    <s v="Wholesale"/>
    <n v="0.05"/>
    <x v="4"/>
    <n v="1220.598"/>
    <s v="Cash"/>
    <s v="FREESHIP"/>
    <n v="0"/>
    <s v="REG101070"/>
    <s v="Cust 8762"/>
    <n v="44.86"/>
    <d v="2025-05-13T00:00:00"/>
    <d v="2025-05-21T00:00:00"/>
    <s v="Sophie"/>
    <x v="13"/>
    <x v="10"/>
  </r>
  <r>
    <d v="2023-10-29T00:00:00"/>
    <x v="2"/>
    <x v="1"/>
    <n v="4"/>
    <n v="59.8"/>
    <s v="Store D"/>
    <s v="Retail"/>
    <n v="0.1"/>
    <x v="2"/>
    <n v="215.28"/>
    <s v="Online"/>
    <s v="FREESHIP"/>
    <n v="0"/>
    <s v="REG101071"/>
    <s v="Cust 4004"/>
    <n v="42.59"/>
    <d v="2023-10-29T00:00:00"/>
    <d v="2023-11-06T00:00:00"/>
    <s v="Ryan"/>
    <x v="19"/>
    <x v="14"/>
  </r>
  <r>
    <d v="2024-06-12T00:00:00"/>
    <x v="0"/>
    <x v="0"/>
    <n v="9"/>
    <n v="418"/>
    <s v="Store C"/>
    <s v="Wholesale"/>
    <n v="0"/>
    <x v="5"/>
    <n v="3762"/>
    <s v="Credit Card"/>
    <s v="WINTER15"/>
    <n v="0"/>
    <s v="REG101072"/>
    <s v="Cust 2781"/>
    <n v="30.45"/>
    <d v="2024-06-12T00:00:00"/>
    <d v="2024-06-18T00:00:00"/>
    <s v="Eric"/>
    <x v="23"/>
    <x v="11"/>
  </r>
  <r>
    <d v="2023-02-02T00:00:00"/>
    <x v="1"/>
    <x v="3"/>
    <n v="1"/>
    <n v="80.959999999999994"/>
    <s v="Store A"/>
    <s v="Wholesale"/>
    <n v="0"/>
    <x v="5"/>
    <n v="80.959999999999994"/>
    <s v="Credit Card"/>
    <s v="FREESHIP"/>
    <n v="0"/>
    <s v="REG101073"/>
    <s v="Cust 9982"/>
    <n v="48.07"/>
    <d v="2023-02-02T00:00:00"/>
    <d v="2023-02-05T00:00:00"/>
    <s v="Sophie"/>
    <x v="0"/>
    <x v="0"/>
  </r>
  <r>
    <d v="2023-05-04T00:00:00"/>
    <x v="0"/>
    <x v="1"/>
    <n v="20"/>
    <n v="42.12"/>
    <s v="Store B"/>
    <s v="Wholesale"/>
    <n v="0.15"/>
    <x v="1"/>
    <n v="716.04"/>
    <s v="Credit Card"/>
    <m/>
    <n v="0"/>
    <s v="REG101074"/>
    <s v="Cust 9561"/>
    <n v="43.22"/>
    <d v="2023-05-04T00:00:00"/>
    <d v="2023-05-12T00:00:00"/>
    <s v="Eric"/>
    <x v="2"/>
    <x v="2"/>
  </r>
  <r>
    <d v="2023-05-24T00:00:00"/>
    <x v="4"/>
    <x v="4"/>
    <n v="3"/>
    <n v="366.65"/>
    <s v="Store D"/>
    <s v="Wholesale"/>
    <n v="0"/>
    <x v="3"/>
    <n v="1099.95"/>
    <s v="Credit Card"/>
    <s v="SAVE10"/>
    <n v="0"/>
    <s v="REG101075"/>
    <s v="Cust 3496"/>
    <n v="33.6"/>
    <d v="2023-05-24T00:00:00"/>
    <d v="2023-05-31T00:00:00"/>
    <s v="Wendy"/>
    <x v="2"/>
    <x v="2"/>
  </r>
  <r>
    <d v="2023-02-03T00:00:00"/>
    <x v="4"/>
    <x v="4"/>
    <n v="19"/>
    <n v="534.91999999999996"/>
    <s v="Store D"/>
    <s v="Retail"/>
    <n v="0"/>
    <x v="4"/>
    <n v="10163.48"/>
    <s v="Online"/>
    <m/>
    <n v="0"/>
    <s v="REG101076"/>
    <s v="Cust 4085"/>
    <n v="26.97"/>
    <d v="2023-02-03T00:00:00"/>
    <d v="2023-02-13T00:00:00"/>
    <s v="Wendy"/>
    <x v="0"/>
    <x v="0"/>
  </r>
  <r>
    <d v="2023-12-25T00:00:00"/>
    <x v="0"/>
    <x v="3"/>
    <n v="1"/>
    <n v="494.52"/>
    <s v="Store D"/>
    <s v="Retail"/>
    <n v="0"/>
    <x v="5"/>
    <n v="494.52"/>
    <s v="Credit Card"/>
    <m/>
    <n v="0"/>
    <s v="REG101077"/>
    <s v="Cust 1921"/>
    <n v="43.02"/>
    <d v="2023-12-25T00:00:00"/>
    <d v="2024-01-02T00:00:00"/>
    <s v="Eric"/>
    <x v="27"/>
    <x v="12"/>
  </r>
  <r>
    <d v="2023-07-26T00:00:00"/>
    <x v="0"/>
    <x v="4"/>
    <n v="6"/>
    <n v="344.67"/>
    <s v="Store D"/>
    <s v="Wholesale"/>
    <n v="0.1"/>
    <x v="4"/>
    <n v="1861.2180000000001"/>
    <s v="Online"/>
    <s v="SAVE10"/>
    <n v="1"/>
    <s v="REG101078"/>
    <s v="Cust 9053"/>
    <n v="31.13"/>
    <d v="2023-07-26T00:00:00"/>
    <d v="2023-08-01T00:00:00"/>
    <s v="Eric"/>
    <x v="11"/>
    <x v="9"/>
  </r>
  <r>
    <d v="2024-06-06T00:00:00"/>
    <x v="3"/>
    <x v="4"/>
    <n v="12"/>
    <n v="489.14"/>
    <s v="Store D"/>
    <s v="Retail"/>
    <n v="0.15"/>
    <x v="5"/>
    <n v="4989.2280000000001"/>
    <s v="Online"/>
    <s v="SAVE10"/>
    <n v="0"/>
    <s v="REG101079"/>
    <s v="Cust 9345"/>
    <n v="29.31"/>
    <d v="2024-06-06T00:00:00"/>
    <d v="2024-06-15T00:00:00"/>
    <s v="Cameron"/>
    <x v="23"/>
    <x v="11"/>
  </r>
  <r>
    <d v="2024-10-13T00:00:00"/>
    <x v="1"/>
    <x v="6"/>
    <n v="18"/>
    <n v="256.23"/>
    <s v="Store B"/>
    <s v="Wholesale"/>
    <n v="0.05"/>
    <x v="0"/>
    <n v="4381.5330000000004"/>
    <s v="Debit Card"/>
    <m/>
    <n v="0"/>
    <s v="REG101080"/>
    <s v="Cust 3559"/>
    <n v="11.21"/>
    <d v="2024-10-13T00:00:00"/>
    <d v="2024-10-18T00:00:00"/>
    <s v="Sophie"/>
    <x v="7"/>
    <x v="5"/>
  </r>
  <r>
    <d v="2024-11-03T00:00:00"/>
    <x v="2"/>
    <x v="6"/>
    <n v="17"/>
    <n v="99.76"/>
    <s v="Store C"/>
    <s v="Wholesale"/>
    <n v="0"/>
    <x v="4"/>
    <n v="1695.92"/>
    <s v="Online"/>
    <s v="FREESHIP"/>
    <n v="1"/>
    <s v="REG101081"/>
    <s v="Cust 1762"/>
    <n v="21.89"/>
    <d v="2024-11-03T00:00:00"/>
    <d v="2024-11-13T00:00:00"/>
    <s v="Ryan"/>
    <x v="20"/>
    <x v="1"/>
  </r>
  <r>
    <d v="2024-02-03T00:00:00"/>
    <x v="2"/>
    <x v="6"/>
    <n v="14"/>
    <n v="575.66"/>
    <s v="Store C"/>
    <s v="Wholesale"/>
    <n v="0.1"/>
    <x v="2"/>
    <n v="7253.3159999999998"/>
    <s v="Credit Card"/>
    <m/>
    <n v="0"/>
    <s v="REG101082"/>
    <s v="Cust 7060"/>
    <n v="32.53"/>
    <d v="2024-02-03T00:00:00"/>
    <d v="2024-02-11T00:00:00"/>
    <s v="Ryan"/>
    <x v="5"/>
    <x v="4"/>
  </r>
  <r>
    <d v="2023-01-10T00:00:00"/>
    <x v="0"/>
    <x v="3"/>
    <n v="6"/>
    <n v="176.52"/>
    <s v="Store D"/>
    <s v="Wholesale"/>
    <n v="0.15"/>
    <x v="1"/>
    <n v="900.25200000000007"/>
    <s v="Online"/>
    <s v="FREESHIP"/>
    <n v="0"/>
    <s v="REG101083"/>
    <s v="Cust 8796"/>
    <n v="16.98"/>
    <d v="2023-01-10T00:00:00"/>
    <d v="2023-01-13T00:00:00"/>
    <s v="Eric"/>
    <x v="6"/>
    <x v="0"/>
  </r>
  <r>
    <d v="2023-10-16T00:00:00"/>
    <x v="0"/>
    <x v="5"/>
    <n v="6"/>
    <n v="485.66"/>
    <s v="Store D"/>
    <s v="Wholesale"/>
    <n v="0.05"/>
    <x v="0"/>
    <n v="2768.2620000000002"/>
    <s v="Gift Card"/>
    <s v="FREESHIP"/>
    <n v="0"/>
    <s v="REG101084"/>
    <s v="Cust 6055"/>
    <n v="30.62"/>
    <d v="2023-10-16T00:00:00"/>
    <d v="2023-10-22T00:00:00"/>
    <s v="Eric"/>
    <x v="19"/>
    <x v="14"/>
  </r>
  <r>
    <d v="2025-03-19T00:00:00"/>
    <x v="3"/>
    <x v="0"/>
    <n v="8"/>
    <n v="141.61000000000001"/>
    <s v="Store B"/>
    <s v="Retail"/>
    <n v="0.1"/>
    <x v="5"/>
    <n v="1019.592"/>
    <s v="Gift Card"/>
    <s v="WINTER15"/>
    <n v="0"/>
    <s v="REG101085"/>
    <s v="Cust 5779"/>
    <n v="14.02"/>
    <d v="2025-03-19T00:00:00"/>
    <d v="2025-03-24T00:00:00"/>
    <s v="Cameron"/>
    <x v="8"/>
    <x v="6"/>
  </r>
  <r>
    <d v="2024-12-16T00:00:00"/>
    <x v="4"/>
    <x v="2"/>
    <n v="9"/>
    <n v="215.29"/>
    <s v="Store C"/>
    <s v="Wholesale"/>
    <n v="0.1"/>
    <x v="1"/>
    <n v="1743.8489999999999"/>
    <s v="Credit Card"/>
    <s v="WINTER15"/>
    <n v="0"/>
    <s v="REG101086"/>
    <s v="Cust 9330"/>
    <n v="5.84"/>
    <d v="2024-12-16T00:00:00"/>
    <d v="2024-12-19T00:00:00"/>
    <s v="Wendy"/>
    <x v="1"/>
    <x v="1"/>
  </r>
  <r>
    <d v="2023-08-16T00:00:00"/>
    <x v="4"/>
    <x v="0"/>
    <n v="18"/>
    <n v="497.22"/>
    <s v="Store B"/>
    <s v="Wholesale"/>
    <n v="0.05"/>
    <x v="4"/>
    <n v="8502.4620000000014"/>
    <s v="Credit Card"/>
    <s v="WINTER15"/>
    <n v="0"/>
    <s v="REG101087"/>
    <s v="Cust 5374"/>
    <n v="17.39"/>
    <d v="2023-08-16T00:00:00"/>
    <d v="2023-08-20T00:00:00"/>
    <s v="Wendy"/>
    <x v="18"/>
    <x v="9"/>
  </r>
  <r>
    <d v="2023-01-10T00:00:00"/>
    <x v="0"/>
    <x v="2"/>
    <n v="13"/>
    <n v="347.73"/>
    <s v="Store B"/>
    <s v="Wholesale"/>
    <n v="0.05"/>
    <x v="4"/>
    <n v="4294.4654999999993"/>
    <s v="Gift Card"/>
    <s v="FREESHIP"/>
    <n v="1"/>
    <s v="REG101088"/>
    <s v="Cust 3321"/>
    <n v="31.81"/>
    <d v="2023-01-10T00:00:00"/>
    <d v="2023-01-20T00:00:00"/>
    <s v="Eric"/>
    <x v="6"/>
    <x v="0"/>
  </r>
  <r>
    <d v="2025-05-09T00:00:00"/>
    <x v="3"/>
    <x v="3"/>
    <n v="3"/>
    <n v="371.21"/>
    <s v="Store C"/>
    <s v="Wholesale"/>
    <n v="0.1"/>
    <x v="0"/>
    <n v="1002.2670000000001"/>
    <s v="Gift Card"/>
    <s v="SAVE10"/>
    <n v="0"/>
    <s v="REG101089"/>
    <s v="Cust 6554"/>
    <n v="20.02"/>
    <d v="2025-05-09T00:00:00"/>
    <d v="2025-05-18T00:00:00"/>
    <s v="Cameron"/>
    <x v="13"/>
    <x v="10"/>
  </r>
  <r>
    <d v="2024-04-08T00:00:00"/>
    <x v="0"/>
    <x v="6"/>
    <n v="12"/>
    <n v="434.33"/>
    <s v="Store A"/>
    <s v="Wholesale"/>
    <n v="0.15"/>
    <x v="5"/>
    <n v="4430.1660000000002"/>
    <s v="Cash"/>
    <s v="FREESHIP"/>
    <n v="0"/>
    <s v="REG101090"/>
    <s v="Cust 6855"/>
    <n v="15.33"/>
    <d v="2024-04-08T00:00:00"/>
    <d v="2024-04-16T00:00:00"/>
    <s v="Eric"/>
    <x v="9"/>
    <x v="7"/>
  </r>
  <r>
    <d v="2025-05-06T00:00:00"/>
    <x v="0"/>
    <x v="4"/>
    <n v="16"/>
    <n v="426.65"/>
    <s v="Store A"/>
    <s v="Retail"/>
    <n v="0.1"/>
    <x v="4"/>
    <n v="6143.76"/>
    <s v="Gift Card"/>
    <m/>
    <n v="0"/>
    <s v="REG101091"/>
    <s v="Cust 9955"/>
    <n v="10.199999999999999"/>
    <d v="2025-05-06T00:00:00"/>
    <d v="2025-05-15T00:00:00"/>
    <s v="Eric"/>
    <x v="13"/>
    <x v="10"/>
  </r>
  <r>
    <d v="2023-05-21T00:00:00"/>
    <x v="4"/>
    <x v="2"/>
    <n v="6"/>
    <n v="294.97000000000003"/>
    <s v="Store A"/>
    <s v="Wholesale"/>
    <n v="0.05"/>
    <x v="5"/>
    <n v="1681.329"/>
    <s v="Credit Card"/>
    <s v="WINTER15"/>
    <n v="0"/>
    <s v="REG101092"/>
    <s v="Cust 3320"/>
    <n v="48.08"/>
    <d v="2023-05-21T00:00:00"/>
    <d v="2023-05-29T00:00:00"/>
    <s v="Wendy"/>
    <x v="2"/>
    <x v="2"/>
  </r>
  <r>
    <d v="2023-11-23T00:00:00"/>
    <x v="3"/>
    <x v="1"/>
    <n v="12"/>
    <n v="130.9"/>
    <s v="Store D"/>
    <s v="Retail"/>
    <n v="0.15"/>
    <x v="1"/>
    <n v="1335.18"/>
    <s v="Debit Card"/>
    <s v="SAVE10"/>
    <n v="0"/>
    <s v="REG101093"/>
    <s v="Cust 8177"/>
    <n v="34.69"/>
    <d v="2023-11-23T00:00:00"/>
    <d v="2023-11-30T00:00:00"/>
    <s v="Cameron"/>
    <x v="15"/>
    <x v="12"/>
  </r>
  <r>
    <d v="2024-03-26T00:00:00"/>
    <x v="2"/>
    <x v="4"/>
    <n v="18"/>
    <n v="539.98"/>
    <s v="Store C"/>
    <s v="Retail"/>
    <n v="0.15"/>
    <x v="0"/>
    <n v="8261.6939999999995"/>
    <s v="Cash"/>
    <s v="FREESHIP"/>
    <n v="1"/>
    <s v="REG101094"/>
    <s v="Cust 1743"/>
    <n v="34.44"/>
    <d v="2024-03-26T00:00:00"/>
    <d v="2024-04-05T00:00:00"/>
    <s v="Ryan"/>
    <x v="25"/>
    <x v="7"/>
  </r>
  <r>
    <d v="2024-09-25T00:00:00"/>
    <x v="1"/>
    <x v="2"/>
    <n v="12"/>
    <n v="149.37"/>
    <s v="Store D"/>
    <s v="Retail"/>
    <n v="0.1"/>
    <x v="5"/>
    <n v="1613.1959999999999"/>
    <s v="Credit Card"/>
    <m/>
    <n v="0"/>
    <s v="REG101095"/>
    <s v="Cust 3719"/>
    <n v="20.21"/>
    <d v="2024-09-25T00:00:00"/>
    <d v="2024-10-02T00:00:00"/>
    <s v="Sophie"/>
    <x v="26"/>
    <x v="5"/>
  </r>
  <r>
    <d v="2023-04-06T00:00:00"/>
    <x v="0"/>
    <x v="3"/>
    <n v="5"/>
    <n v="411.24"/>
    <s v="Store A"/>
    <s v="Wholesale"/>
    <n v="0.15"/>
    <x v="5"/>
    <n v="1747.77"/>
    <s v="Cash"/>
    <s v="WINTER15"/>
    <n v="1"/>
    <s v="REG101096"/>
    <s v="Cust 9323"/>
    <n v="5.35"/>
    <d v="2023-04-06T00:00:00"/>
    <d v="2023-04-10T00:00:00"/>
    <s v="Eric"/>
    <x v="21"/>
    <x v="13"/>
  </r>
  <r>
    <d v="2024-06-24T00:00:00"/>
    <x v="2"/>
    <x v="3"/>
    <n v="16"/>
    <n v="462.86"/>
    <s v="Store D"/>
    <s v="Retail"/>
    <n v="0.05"/>
    <x v="5"/>
    <n v="7035.4719999999998"/>
    <s v="Cash"/>
    <m/>
    <n v="1"/>
    <s v="REG101097"/>
    <s v="Cust 1914"/>
    <n v="17.43"/>
    <d v="2024-06-24T00:00:00"/>
    <d v="2024-06-26T00:00:00"/>
    <s v="Ryan"/>
    <x v="23"/>
    <x v="11"/>
  </r>
  <r>
    <d v="2024-12-15T00:00:00"/>
    <x v="1"/>
    <x v="0"/>
    <n v="17"/>
    <n v="506.38"/>
    <s v="Store B"/>
    <s v="Wholesale"/>
    <n v="0"/>
    <x v="3"/>
    <n v="8608.4599999999991"/>
    <s v="Cash"/>
    <s v="WINTER15"/>
    <n v="1"/>
    <s v="REG101098"/>
    <s v="Cust 5928"/>
    <n v="33.36"/>
    <d v="2024-12-15T00:00:00"/>
    <d v="2024-12-23T00:00:00"/>
    <s v="Sophie"/>
    <x v="1"/>
    <x v="1"/>
  </r>
  <r>
    <d v="2024-10-03T00:00:00"/>
    <x v="2"/>
    <x v="2"/>
    <n v="19"/>
    <n v="25.61"/>
    <s v="Store B"/>
    <s v="Retail"/>
    <n v="0"/>
    <x v="5"/>
    <n v="486.59"/>
    <s v="Gift Card"/>
    <m/>
    <n v="0"/>
    <s v="REG101099"/>
    <s v="Cust 1904"/>
    <n v="30.32"/>
    <d v="2024-10-03T00:00:00"/>
    <d v="2024-10-11T00:00:00"/>
    <s v="Ryan"/>
    <x v="7"/>
    <x v="5"/>
  </r>
  <r>
    <d v="2023-09-03T00:00:00"/>
    <x v="1"/>
    <x v="2"/>
    <n v="4"/>
    <n v="467.45"/>
    <s v="Store C"/>
    <s v="Wholesale"/>
    <n v="0.05"/>
    <x v="2"/>
    <n v="1776.31"/>
    <s v="Gift Card"/>
    <s v="WINTER15"/>
    <n v="0"/>
    <s v="REG101100"/>
    <s v="Cust 8062"/>
    <n v="25.05"/>
    <d v="2023-09-03T00:00:00"/>
    <d v="2023-09-13T00:00:00"/>
    <s v="Sophie"/>
    <x v="22"/>
    <x v="14"/>
  </r>
  <r>
    <d v="2023-01-29T00:00:00"/>
    <x v="2"/>
    <x v="6"/>
    <n v="10"/>
    <n v="140.5"/>
    <s v="Store B"/>
    <s v="Retail"/>
    <n v="0.15"/>
    <x v="3"/>
    <n v="1194.25"/>
    <s v="Online"/>
    <s v="FREESHIP"/>
    <n v="0"/>
    <s v="REG101101"/>
    <s v="Cust 8150"/>
    <n v="43.81"/>
    <d v="2023-01-29T00:00:00"/>
    <d v="2023-02-05T00:00:00"/>
    <s v="Ryan"/>
    <x v="6"/>
    <x v="0"/>
  </r>
  <r>
    <d v="2024-06-12T00:00:00"/>
    <x v="2"/>
    <x v="1"/>
    <n v="8"/>
    <n v="57.85"/>
    <s v="Store D"/>
    <s v="Wholesale"/>
    <n v="0"/>
    <x v="2"/>
    <n v="462.8"/>
    <s v="Online"/>
    <s v="WINTER15"/>
    <n v="1"/>
    <s v="REG101102"/>
    <s v="Cust 3275"/>
    <n v="49.82"/>
    <d v="2024-06-12T00:00:00"/>
    <d v="2024-06-20T00:00:00"/>
    <s v="Ryan"/>
    <x v="23"/>
    <x v="11"/>
  </r>
  <r>
    <d v="2024-11-24T00:00:00"/>
    <x v="2"/>
    <x v="4"/>
    <n v="9"/>
    <n v="539.64"/>
    <s v="Store A"/>
    <s v="Retail"/>
    <n v="0.15"/>
    <x v="1"/>
    <n v="4128.2460000000001"/>
    <s v="Gift Card"/>
    <m/>
    <n v="0"/>
    <s v="REG101103"/>
    <s v="Cust 3854"/>
    <n v="16.079999999999998"/>
    <d v="2024-11-24T00:00:00"/>
    <d v="2024-12-03T00:00:00"/>
    <s v="Ryan"/>
    <x v="20"/>
    <x v="1"/>
  </r>
  <r>
    <d v="2023-08-15T00:00:00"/>
    <x v="4"/>
    <x v="4"/>
    <n v="18"/>
    <n v="476.32"/>
    <s v="Store A"/>
    <s v="Wholesale"/>
    <n v="0"/>
    <x v="4"/>
    <n v="8573.76"/>
    <s v="Credit Card"/>
    <s v="SAVE10"/>
    <n v="1"/>
    <s v="REG101104"/>
    <s v="Cust 8398"/>
    <n v="47.43"/>
    <d v="2023-08-15T00:00:00"/>
    <d v="2023-08-20T00:00:00"/>
    <s v="Wendy"/>
    <x v="18"/>
    <x v="9"/>
  </r>
  <r>
    <d v="2024-08-21T00:00:00"/>
    <x v="3"/>
    <x v="5"/>
    <n v="11"/>
    <n v="143.85"/>
    <s v="Store A"/>
    <s v="Wholesale"/>
    <n v="0.1"/>
    <x v="0"/>
    <n v="1424.115"/>
    <s v="Debit Card"/>
    <s v="FREESHIP"/>
    <n v="0"/>
    <s v="REG101105"/>
    <s v="Cust 4026"/>
    <n v="6.85"/>
    <d v="2024-08-21T00:00:00"/>
    <d v="2024-08-30T00:00:00"/>
    <s v="Cameron"/>
    <x v="29"/>
    <x v="8"/>
  </r>
  <r>
    <d v="2023-05-24T00:00:00"/>
    <x v="4"/>
    <x v="4"/>
    <n v="4"/>
    <n v="323.63"/>
    <s v="Store C"/>
    <s v="Retail"/>
    <n v="0.1"/>
    <x v="3"/>
    <n v="1165.068"/>
    <s v="Credit Card"/>
    <s v="FREESHIP"/>
    <n v="0"/>
    <s v="REG101106"/>
    <s v="Cust 5794"/>
    <n v="32.92"/>
    <d v="2023-05-24T00:00:00"/>
    <d v="2023-06-01T00:00:00"/>
    <s v="Wendy"/>
    <x v="2"/>
    <x v="2"/>
  </r>
  <r>
    <d v="2023-04-27T00:00:00"/>
    <x v="4"/>
    <x v="4"/>
    <n v="16"/>
    <n v="37.4"/>
    <s v="Store A"/>
    <s v="Wholesale"/>
    <n v="0.05"/>
    <x v="5"/>
    <n v="568.4799999999999"/>
    <s v="Credit Card"/>
    <s v="FREESHIP"/>
    <n v="0"/>
    <s v="REG101107"/>
    <s v="Cust 2917"/>
    <n v="49.55"/>
    <d v="2023-04-27T00:00:00"/>
    <d v="2023-05-01T00:00:00"/>
    <s v="Wendy"/>
    <x v="21"/>
    <x v="13"/>
  </r>
  <r>
    <d v="2023-05-21T00:00:00"/>
    <x v="0"/>
    <x v="5"/>
    <n v="1"/>
    <n v="418.98"/>
    <s v="Store B"/>
    <s v="Retail"/>
    <n v="0.1"/>
    <x v="3"/>
    <n v="377.08200000000011"/>
    <s v="Gift Card"/>
    <s v="FREESHIP"/>
    <n v="0"/>
    <s v="REG101108"/>
    <s v="Cust 5659"/>
    <n v="43.72"/>
    <d v="2023-05-21T00:00:00"/>
    <d v="2023-05-26T00:00:00"/>
    <s v="Eric"/>
    <x v="2"/>
    <x v="2"/>
  </r>
  <r>
    <d v="2025-02-16T00:00:00"/>
    <x v="0"/>
    <x v="4"/>
    <n v="12"/>
    <n v="108.35"/>
    <s v="Store A"/>
    <s v="Wholesale"/>
    <n v="0"/>
    <x v="4"/>
    <n v="1300.2"/>
    <s v="Online"/>
    <s v="FREESHIP"/>
    <n v="0"/>
    <s v="REG101109"/>
    <s v="Cust 1857"/>
    <n v="42.06"/>
    <d v="2025-02-16T00:00:00"/>
    <d v="2025-02-25T00:00:00"/>
    <s v="Eric"/>
    <x v="3"/>
    <x v="3"/>
  </r>
  <r>
    <d v="2023-08-24T00:00:00"/>
    <x v="0"/>
    <x v="5"/>
    <n v="5"/>
    <n v="256.42"/>
    <s v="Store B"/>
    <s v="Retail"/>
    <n v="0"/>
    <x v="1"/>
    <n v="1282.0999999999999"/>
    <s v="Gift Card"/>
    <s v="FREESHIP"/>
    <n v="0"/>
    <s v="REG101110"/>
    <s v="Cust 6718"/>
    <n v="28.74"/>
    <d v="2023-08-24T00:00:00"/>
    <d v="2023-08-29T00:00:00"/>
    <s v="Eric"/>
    <x v="18"/>
    <x v="9"/>
  </r>
  <r>
    <d v="2024-03-14T00:00:00"/>
    <x v="0"/>
    <x v="2"/>
    <n v="16"/>
    <n v="544.91"/>
    <s v="Store B"/>
    <s v="Retail"/>
    <n v="0.1"/>
    <x v="2"/>
    <n v="7846.7039999999997"/>
    <s v="Credit Card"/>
    <s v="FREESHIP"/>
    <n v="0"/>
    <s v="REG101111"/>
    <s v="Cust 8378"/>
    <n v="39.26"/>
    <d v="2024-03-14T00:00:00"/>
    <d v="2024-03-21T00:00:00"/>
    <s v="Eric"/>
    <x v="25"/>
    <x v="7"/>
  </r>
  <r>
    <d v="2024-01-29T00:00:00"/>
    <x v="2"/>
    <x v="2"/>
    <n v="19"/>
    <n v="113.42"/>
    <s v="Store A"/>
    <s v="Retail"/>
    <n v="0"/>
    <x v="0"/>
    <n v="2154.98"/>
    <s v="Debit Card"/>
    <s v="WINTER15"/>
    <n v="0"/>
    <s v="REG101112"/>
    <s v="Cust 3069"/>
    <n v="44.96"/>
    <d v="2024-01-29T00:00:00"/>
    <d v="2024-02-07T00:00:00"/>
    <s v="Ryan"/>
    <x v="24"/>
    <x v="4"/>
  </r>
  <r>
    <d v="2024-08-09T00:00:00"/>
    <x v="1"/>
    <x v="1"/>
    <n v="10"/>
    <n v="522.73"/>
    <s v="Store C"/>
    <s v="Retail"/>
    <n v="0.1"/>
    <x v="5"/>
    <n v="4704.5700000000006"/>
    <s v="Credit Card"/>
    <m/>
    <n v="0"/>
    <s v="REG101113"/>
    <s v="Cust 7619"/>
    <n v="20.059999999999999"/>
    <d v="2024-08-09T00:00:00"/>
    <d v="2024-08-15T00:00:00"/>
    <s v="Sophie"/>
    <x v="29"/>
    <x v="8"/>
  </r>
  <r>
    <d v="2024-07-08T00:00:00"/>
    <x v="2"/>
    <x v="5"/>
    <n v="18"/>
    <n v="448.03"/>
    <s v="Store B"/>
    <s v="Retail"/>
    <n v="0.15"/>
    <x v="2"/>
    <n v="6854.8589999999986"/>
    <s v="Cash"/>
    <s v="WINTER15"/>
    <n v="1"/>
    <s v="REG101114"/>
    <s v="Cust 6167"/>
    <n v="13.23"/>
    <d v="2024-07-08T00:00:00"/>
    <d v="2024-07-17T00:00:00"/>
    <s v="Ryan"/>
    <x v="10"/>
    <x v="8"/>
  </r>
  <r>
    <d v="2024-08-20T00:00:00"/>
    <x v="2"/>
    <x v="4"/>
    <n v="15"/>
    <n v="208.51"/>
    <s v="Store A"/>
    <s v="Retail"/>
    <n v="0.05"/>
    <x v="3"/>
    <n v="2971.267499999999"/>
    <s v="Gift Card"/>
    <m/>
    <n v="0"/>
    <s v="REG101115"/>
    <s v="Cust 2453"/>
    <n v="37.81"/>
    <d v="2024-08-20T00:00:00"/>
    <d v="2024-08-29T00:00:00"/>
    <s v="Ryan"/>
    <x v="29"/>
    <x v="8"/>
  </r>
  <r>
    <d v="2023-06-26T00:00:00"/>
    <x v="3"/>
    <x v="0"/>
    <n v="13"/>
    <n v="423.64"/>
    <s v="Store C"/>
    <s v="Retail"/>
    <n v="0.1"/>
    <x v="1"/>
    <n v="4956.5879999999997"/>
    <s v="Debit Card"/>
    <m/>
    <n v="1"/>
    <s v="REG101116"/>
    <s v="Cust 8896"/>
    <n v="23.31"/>
    <d v="2023-06-26T00:00:00"/>
    <d v="2023-06-28T00:00:00"/>
    <s v="Cameron"/>
    <x v="4"/>
    <x v="2"/>
  </r>
  <r>
    <d v="2023-12-23T00:00:00"/>
    <x v="0"/>
    <x v="3"/>
    <n v="5"/>
    <n v="552.26"/>
    <s v="Store D"/>
    <s v="Wholesale"/>
    <n v="0.15"/>
    <x v="1"/>
    <n v="2347.105"/>
    <s v="Debit Card"/>
    <s v="WINTER15"/>
    <n v="0"/>
    <s v="REG101117"/>
    <s v="Cust 8800"/>
    <n v="26.5"/>
    <d v="2023-12-23T00:00:00"/>
    <d v="2023-12-25T00:00:00"/>
    <s v="Eric"/>
    <x v="27"/>
    <x v="12"/>
  </r>
  <r>
    <d v="2023-08-20T00:00:00"/>
    <x v="3"/>
    <x v="2"/>
    <n v="1"/>
    <n v="182.11"/>
    <s v="Store A"/>
    <s v="Retail"/>
    <n v="0.1"/>
    <x v="3"/>
    <n v="163.899"/>
    <s v="Credit Card"/>
    <s v="WINTER15"/>
    <n v="0"/>
    <s v="REG101118"/>
    <s v="Cust 1819"/>
    <n v="7.31"/>
    <d v="2023-08-20T00:00:00"/>
    <d v="2023-08-27T00:00:00"/>
    <s v="Cameron"/>
    <x v="18"/>
    <x v="9"/>
  </r>
  <r>
    <d v="2024-10-28T00:00:00"/>
    <x v="4"/>
    <x v="2"/>
    <n v="7"/>
    <n v="466.36"/>
    <s v="Store D"/>
    <s v="Wholesale"/>
    <n v="0.05"/>
    <x v="5"/>
    <n v="3101.2939999999999"/>
    <s v="Online"/>
    <s v="SAVE10"/>
    <n v="1"/>
    <s v="REG101119"/>
    <s v="Cust 1300"/>
    <n v="11.45"/>
    <d v="2024-10-28T00:00:00"/>
    <d v="2024-11-06T00:00:00"/>
    <s v="Wendy"/>
    <x v="7"/>
    <x v="5"/>
  </r>
  <r>
    <d v="2024-11-11T00:00:00"/>
    <x v="0"/>
    <x v="6"/>
    <n v="15"/>
    <n v="140.54"/>
    <s v="Store A"/>
    <s v="Wholesale"/>
    <n v="0.1"/>
    <x v="0"/>
    <n v="1897.29"/>
    <s v="Credit Card"/>
    <s v="SAVE10"/>
    <n v="0"/>
    <s v="REG101120"/>
    <s v="Cust 3807"/>
    <n v="49.91"/>
    <d v="2024-11-11T00:00:00"/>
    <d v="2024-11-21T00:00:00"/>
    <s v="Eric"/>
    <x v="20"/>
    <x v="1"/>
  </r>
  <r>
    <d v="2023-12-07T00:00:00"/>
    <x v="4"/>
    <x v="2"/>
    <n v="17"/>
    <n v="460.31"/>
    <s v="Store A"/>
    <s v="Retail"/>
    <n v="0.15"/>
    <x v="4"/>
    <n v="6651.4795000000004"/>
    <s v="Online"/>
    <s v="WINTER15"/>
    <n v="0"/>
    <s v="REG101121"/>
    <s v="Cust 6633"/>
    <n v="40.18"/>
    <d v="2023-12-07T00:00:00"/>
    <d v="2023-12-15T00:00:00"/>
    <s v="Wendy"/>
    <x v="27"/>
    <x v="12"/>
  </r>
  <r>
    <d v="2024-03-23T00:00:00"/>
    <x v="4"/>
    <x v="0"/>
    <n v="5"/>
    <n v="132.87"/>
    <s v="Store B"/>
    <s v="Retail"/>
    <n v="0"/>
    <x v="5"/>
    <n v="664.35"/>
    <s v="Debit Card"/>
    <s v="WINTER15"/>
    <n v="0"/>
    <s v="REG101122"/>
    <s v="Cust 6573"/>
    <n v="37.909999999999997"/>
    <d v="2024-03-23T00:00:00"/>
    <d v="2024-04-02T00:00:00"/>
    <s v="Wendy"/>
    <x v="25"/>
    <x v="7"/>
  </r>
  <r>
    <d v="2024-10-29T00:00:00"/>
    <x v="4"/>
    <x v="5"/>
    <n v="12"/>
    <n v="209.86"/>
    <s v="Store D"/>
    <s v="Retail"/>
    <n v="0.05"/>
    <x v="5"/>
    <n v="2392.404"/>
    <s v="Online"/>
    <s v="WINTER15"/>
    <n v="0"/>
    <s v="REG101123"/>
    <s v="Cust 8600"/>
    <n v="8.7799999999999994"/>
    <d v="2024-10-29T00:00:00"/>
    <d v="2024-11-02T00:00:00"/>
    <s v="Wendy"/>
    <x v="7"/>
    <x v="5"/>
  </r>
  <r>
    <d v="2025-06-17T00:00:00"/>
    <x v="0"/>
    <x v="0"/>
    <n v="9"/>
    <n v="31.35"/>
    <s v="Store B"/>
    <s v="Retail"/>
    <n v="0.1"/>
    <x v="4"/>
    <n v="253.935"/>
    <s v="Cash"/>
    <s v="SAVE10"/>
    <n v="0"/>
    <s v="REG101124"/>
    <s v="Cust 8654"/>
    <n v="39.32"/>
    <d v="2025-06-17T00:00:00"/>
    <d v="2025-06-22T00:00:00"/>
    <s v="Eric"/>
    <x v="16"/>
    <x v="10"/>
  </r>
  <r>
    <d v="2023-03-18T00:00:00"/>
    <x v="2"/>
    <x v="3"/>
    <n v="11"/>
    <n v="335.11"/>
    <s v="Store C"/>
    <s v="Retail"/>
    <n v="0"/>
    <x v="2"/>
    <n v="3686.21"/>
    <s v="Gift Card"/>
    <s v="FREESHIP"/>
    <n v="0"/>
    <s v="REG101125"/>
    <s v="Cust 3708"/>
    <n v="29.95"/>
    <d v="2023-03-18T00:00:00"/>
    <d v="2023-03-26T00:00:00"/>
    <s v="Ryan"/>
    <x v="17"/>
    <x v="13"/>
  </r>
  <r>
    <d v="2023-01-19T00:00:00"/>
    <x v="0"/>
    <x v="1"/>
    <n v="8"/>
    <n v="277.43"/>
    <s v="Store D"/>
    <s v="Wholesale"/>
    <n v="0"/>
    <x v="3"/>
    <n v="2219.44"/>
    <s v="Online"/>
    <s v="SAVE10"/>
    <n v="0"/>
    <s v="REG101126"/>
    <s v="Cust 1268"/>
    <n v="36.380000000000003"/>
    <d v="2023-01-19T00:00:00"/>
    <d v="2023-01-23T00:00:00"/>
    <s v="Eric"/>
    <x v="6"/>
    <x v="0"/>
  </r>
  <r>
    <d v="2023-07-09T00:00:00"/>
    <x v="4"/>
    <x v="2"/>
    <n v="6"/>
    <n v="287.72000000000003"/>
    <s v="Store A"/>
    <s v="Retail"/>
    <n v="0.05"/>
    <x v="5"/>
    <n v="1640.0039999999999"/>
    <s v="Debit Card"/>
    <s v="WINTER15"/>
    <n v="0"/>
    <s v="REG101127"/>
    <s v="Cust 5600"/>
    <n v="17.14"/>
    <d v="2023-07-09T00:00:00"/>
    <d v="2023-07-14T00:00:00"/>
    <s v="Wendy"/>
    <x v="11"/>
    <x v="9"/>
  </r>
  <r>
    <d v="2025-03-16T00:00:00"/>
    <x v="0"/>
    <x v="0"/>
    <n v="14"/>
    <n v="459.61"/>
    <s v="Store B"/>
    <s v="Retail"/>
    <n v="0.05"/>
    <x v="2"/>
    <n v="6112.8130000000001"/>
    <s v="Online"/>
    <m/>
    <n v="1"/>
    <s v="REG101128"/>
    <s v="Cust 2438"/>
    <n v="43.41"/>
    <d v="2025-03-16T00:00:00"/>
    <d v="2025-03-26T00:00:00"/>
    <s v="Eric"/>
    <x v="8"/>
    <x v="6"/>
  </r>
  <r>
    <d v="2025-02-08T00:00:00"/>
    <x v="2"/>
    <x v="5"/>
    <n v="10"/>
    <n v="396.73"/>
    <s v="Store B"/>
    <s v="Retail"/>
    <n v="0.1"/>
    <x v="0"/>
    <n v="3570.57"/>
    <s v="Online"/>
    <s v="FREESHIP"/>
    <n v="0"/>
    <s v="REG101129"/>
    <s v="Cust 4293"/>
    <n v="18.13"/>
    <d v="2025-02-08T00:00:00"/>
    <d v="2025-02-13T00:00:00"/>
    <s v="Ryan"/>
    <x v="3"/>
    <x v="3"/>
  </r>
  <r>
    <d v="2024-04-20T00:00:00"/>
    <x v="1"/>
    <x v="6"/>
    <n v="20"/>
    <n v="516.42999999999995"/>
    <s v="Store B"/>
    <s v="Retail"/>
    <n v="0"/>
    <x v="5"/>
    <n v="10328.6"/>
    <s v="Online"/>
    <s v="FREESHIP"/>
    <n v="0"/>
    <s v="REG101130"/>
    <s v="Cust 6895"/>
    <n v="36.229999999999997"/>
    <d v="2024-04-20T00:00:00"/>
    <d v="2024-04-22T00:00:00"/>
    <s v="Sophie"/>
    <x v="9"/>
    <x v="7"/>
  </r>
  <r>
    <d v="2025-06-05T00:00:00"/>
    <x v="0"/>
    <x v="0"/>
    <n v="1"/>
    <n v="299.66000000000003"/>
    <s v="Store A"/>
    <s v="Retail"/>
    <n v="0.1"/>
    <x v="4"/>
    <n v="269.69400000000002"/>
    <s v="Cash"/>
    <s v="SAVE10"/>
    <n v="0"/>
    <s v="REG101131"/>
    <s v="Cust 2616"/>
    <n v="38.94"/>
    <d v="2025-06-05T00:00:00"/>
    <d v="2025-06-07T00:00:00"/>
    <s v="Eric"/>
    <x v="16"/>
    <x v="10"/>
  </r>
  <r>
    <d v="2025-04-25T00:00:00"/>
    <x v="1"/>
    <x v="3"/>
    <n v="12"/>
    <n v="31.72"/>
    <s v="Store B"/>
    <s v="Retail"/>
    <n v="0"/>
    <x v="1"/>
    <n v="380.64"/>
    <s v="Debit Card"/>
    <s v="SAVE10"/>
    <n v="0"/>
    <s v="REG101132"/>
    <s v="Cust 5362"/>
    <n v="30.78"/>
    <d v="2025-04-25T00:00:00"/>
    <d v="2025-05-03T00:00:00"/>
    <s v="Sophie"/>
    <x v="28"/>
    <x v="6"/>
  </r>
  <r>
    <d v="2023-09-06T00:00:00"/>
    <x v="3"/>
    <x v="1"/>
    <n v="17"/>
    <n v="588.58000000000004"/>
    <s v="Store D"/>
    <s v="Wholesale"/>
    <n v="0.05"/>
    <x v="4"/>
    <n v="9505.5670000000009"/>
    <s v="Debit Card"/>
    <s v="SAVE10"/>
    <n v="1"/>
    <s v="REG101133"/>
    <s v="Cust 1670"/>
    <n v="25.31"/>
    <d v="2023-09-06T00:00:00"/>
    <d v="2023-09-13T00:00:00"/>
    <s v="Cameron"/>
    <x v="22"/>
    <x v="14"/>
  </r>
  <r>
    <d v="2023-09-29T00:00:00"/>
    <x v="0"/>
    <x v="0"/>
    <n v="11"/>
    <n v="203.15"/>
    <s v="Store C"/>
    <s v="Retail"/>
    <n v="0.1"/>
    <x v="0"/>
    <n v="2011.1849999999999"/>
    <s v="Online"/>
    <s v="FREESHIP"/>
    <n v="0"/>
    <s v="REG101134"/>
    <s v="Cust 2254"/>
    <n v="30.97"/>
    <d v="2023-09-29T00:00:00"/>
    <d v="2023-10-02T00:00:00"/>
    <s v="Eric"/>
    <x v="22"/>
    <x v="14"/>
  </r>
  <r>
    <d v="2024-05-21T00:00:00"/>
    <x v="3"/>
    <x v="4"/>
    <n v="18"/>
    <n v="139.13999999999999"/>
    <s v="Store A"/>
    <s v="Wholesale"/>
    <n v="0"/>
    <x v="3"/>
    <n v="2504.52"/>
    <s v="Online"/>
    <s v="FREESHIP"/>
    <n v="1"/>
    <s v="REG101135"/>
    <s v="Cust 9521"/>
    <n v="10.56"/>
    <d v="2024-05-21T00:00:00"/>
    <d v="2024-05-23T00:00:00"/>
    <s v="Cameron"/>
    <x v="14"/>
    <x v="11"/>
  </r>
  <r>
    <d v="2025-04-13T00:00:00"/>
    <x v="4"/>
    <x v="4"/>
    <n v="2"/>
    <n v="158.99"/>
    <s v="Store A"/>
    <s v="Wholesale"/>
    <n v="0"/>
    <x v="5"/>
    <n v="317.98"/>
    <s v="Online"/>
    <m/>
    <n v="0"/>
    <s v="REG101136"/>
    <s v="Cust 3921"/>
    <n v="48.32"/>
    <d v="2025-04-13T00:00:00"/>
    <d v="2025-04-19T00:00:00"/>
    <s v="Wendy"/>
    <x v="28"/>
    <x v="6"/>
  </r>
  <r>
    <d v="2024-11-16T00:00:00"/>
    <x v="0"/>
    <x v="3"/>
    <n v="3"/>
    <n v="387.63"/>
    <s v="Store A"/>
    <s v="Wholesale"/>
    <n v="0"/>
    <x v="4"/>
    <n v="1162.8900000000001"/>
    <s v="Credit Card"/>
    <s v="WINTER15"/>
    <n v="0"/>
    <s v="REG101137"/>
    <s v="Cust 7628"/>
    <n v="30.08"/>
    <d v="2024-11-16T00:00:00"/>
    <d v="2024-11-20T00:00:00"/>
    <s v="Eric"/>
    <x v="20"/>
    <x v="1"/>
  </r>
  <r>
    <d v="2024-07-20T00:00:00"/>
    <x v="2"/>
    <x v="2"/>
    <n v="5"/>
    <n v="202.12"/>
    <s v="Store A"/>
    <s v="Retail"/>
    <n v="0.1"/>
    <x v="4"/>
    <n v="909.54000000000008"/>
    <s v="Online"/>
    <s v="FREESHIP"/>
    <n v="1"/>
    <s v="REG101138"/>
    <s v="Cust 2453"/>
    <n v="45.61"/>
    <d v="2024-07-20T00:00:00"/>
    <d v="2024-07-28T00:00:00"/>
    <s v="Ryan"/>
    <x v="10"/>
    <x v="8"/>
  </r>
  <r>
    <d v="2023-05-20T00:00:00"/>
    <x v="2"/>
    <x v="2"/>
    <n v="4"/>
    <n v="334.57"/>
    <s v="Store C"/>
    <s v="Retail"/>
    <n v="0.15"/>
    <x v="3"/>
    <n v="1137.538"/>
    <s v="Gift Card"/>
    <m/>
    <n v="0"/>
    <s v="REG101139"/>
    <s v="Cust 4210"/>
    <n v="11.49"/>
    <d v="2023-05-20T00:00:00"/>
    <d v="2023-05-27T00:00:00"/>
    <s v="Ryan"/>
    <x v="2"/>
    <x v="2"/>
  </r>
  <r>
    <d v="2023-10-22T00:00:00"/>
    <x v="4"/>
    <x v="1"/>
    <n v="16"/>
    <n v="486.71"/>
    <s v="Store B"/>
    <s v="Wholesale"/>
    <n v="0.15"/>
    <x v="3"/>
    <n v="6619.2559999999994"/>
    <s v="Online"/>
    <s v="FREESHIP"/>
    <n v="1"/>
    <s v="REG101140"/>
    <s v="Cust 1951"/>
    <n v="12.53"/>
    <d v="2023-10-22T00:00:00"/>
    <d v="2023-10-26T00:00:00"/>
    <s v="Wendy"/>
    <x v="19"/>
    <x v="14"/>
  </r>
  <r>
    <d v="2025-05-18T00:00:00"/>
    <x v="2"/>
    <x v="4"/>
    <n v="2"/>
    <n v="188.29"/>
    <s v="Store D"/>
    <s v="Wholesale"/>
    <n v="0.15"/>
    <x v="5"/>
    <n v="320.09300000000002"/>
    <s v="Credit Card"/>
    <s v="SAVE10"/>
    <n v="0"/>
    <s v="REG101141"/>
    <s v="Cust 9405"/>
    <n v="32.22"/>
    <d v="2025-05-18T00:00:00"/>
    <d v="2025-05-21T00:00:00"/>
    <s v="Ryan"/>
    <x v="13"/>
    <x v="10"/>
  </r>
  <r>
    <d v="2024-03-03T00:00:00"/>
    <x v="1"/>
    <x v="0"/>
    <n v="3"/>
    <n v="260.72000000000003"/>
    <s v="Store B"/>
    <s v="Wholesale"/>
    <n v="0.15"/>
    <x v="2"/>
    <n v="664.83600000000001"/>
    <s v="Online"/>
    <s v="WINTER15"/>
    <n v="0"/>
    <s v="REG101142"/>
    <s v="Cust 8769"/>
    <n v="19.41"/>
    <d v="2024-03-03T00:00:00"/>
    <d v="2024-03-06T00:00:00"/>
    <s v="Sophie"/>
    <x v="25"/>
    <x v="4"/>
  </r>
  <r>
    <d v="2023-07-23T00:00:00"/>
    <x v="0"/>
    <x v="2"/>
    <n v="6"/>
    <n v="358.27"/>
    <s v="Store B"/>
    <s v="Retail"/>
    <n v="0.1"/>
    <x v="2"/>
    <n v="1934.6579999999999"/>
    <s v="Gift Card"/>
    <m/>
    <n v="0"/>
    <s v="REG101143"/>
    <s v="Cust 9982"/>
    <n v="7.34"/>
    <d v="2023-07-23T00:00:00"/>
    <d v="2023-08-02T00:00:00"/>
    <s v="Eric"/>
    <x v="11"/>
    <x v="9"/>
  </r>
  <r>
    <d v="2025-02-09T00:00:00"/>
    <x v="2"/>
    <x v="2"/>
    <n v="13"/>
    <n v="492.66"/>
    <s v="Store B"/>
    <s v="Retail"/>
    <n v="0.1"/>
    <x v="2"/>
    <n v="5764.1220000000003"/>
    <s v="Gift Card"/>
    <s v="FREESHIP"/>
    <n v="0"/>
    <s v="REG101144"/>
    <s v="Cust 4068"/>
    <n v="46.21"/>
    <d v="2025-02-09T00:00:00"/>
    <d v="2025-02-14T00:00:00"/>
    <s v="Ryan"/>
    <x v="3"/>
    <x v="3"/>
  </r>
  <r>
    <d v="2023-01-17T00:00:00"/>
    <x v="1"/>
    <x v="3"/>
    <n v="3"/>
    <n v="348.38"/>
    <s v="Store B"/>
    <s v="Wholesale"/>
    <n v="0"/>
    <x v="3"/>
    <n v="1045.1400000000001"/>
    <s v="Gift Card"/>
    <s v="FREESHIP"/>
    <n v="0"/>
    <s v="REG101145"/>
    <s v="Cust 3523"/>
    <n v="26.25"/>
    <d v="2023-01-17T00:00:00"/>
    <d v="2023-01-23T00:00:00"/>
    <s v="Sophie"/>
    <x v="6"/>
    <x v="0"/>
  </r>
  <r>
    <d v="2023-09-17T00:00:00"/>
    <x v="2"/>
    <x v="1"/>
    <n v="6"/>
    <n v="437.59"/>
    <s v="Store D"/>
    <s v="Wholesale"/>
    <n v="0.05"/>
    <x v="4"/>
    <n v="2494.2629999999999"/>
    <s v="Gift Card"/>
    <s v="WINTER15"/>
    <n v="1"/>
    <s v="REG101146"/>
    <s v="Cust 3377"/>
    <n v="39.4"/>
    <d v="2023-09-17T00:00:00"/>
    <d v="2023-09-26T00:00:00"/>
    <s v="Ryan"/>
    <x v="22"/>
    <x v="14"/>
  </r>
  <r>
    <d v="2025-02-15T00:00:00"/>
    <x v="2"/>
    <x v="6"/>
    <n v="19"/>
    <n v="118.09"/>
    <s v="Store D"/>
    <s v="Wholesale"/>
    <n v="0.1"/>
    <x v="1"/>
    <n v="2019.3389999999999"/>
    <s v="Online"/>
    <s v="SAVE10"/>
    <n v="0"/>
    <s v="REG101147"/>
    <s v="Cust 3125"/>
    <n v="10.77"/>
    <d v="2025-02-15T00:00:00"/>
    <d v="2025-02-23T00:00:00"/>
    <s v="Ryan"/>
    <x v="3"/>
    <x v="3"/>
  </r>
  <r>
    <d v="2023-10-07T00:00:00"/>
    <x v="4"/>
    <x v="5"/>
    <n v="15"/>
    <n v="188.57"/>
    <s v="Store C"/>
    <s v="Wholesale"/>
    <n v="0.05"/>
    <x v="5"/>
    <n v="2687.122499999999"/>
    <s v="Credit Card"/>
    <s v="FREESHIP"/>
    <n v="1"/>
    <s v="REG101148"/>
    <s v="Cust 4623"/>
    <n v="38.61"/>
    <d v="2023-10-07T00:00:00"/>
    <d v="2023-10-09T00:00:00"/>
    <s v="Wendy"/>
    <x v="19"/>
    <x v="14"/>
  </r>
  <r>
    <d v="2023-08-08T00:00:00"/>
    <x v="4"/>
    <x v="1"/>
    <n v="8"/>
    <n v="200.74"/>
    <s v="Store A"/>
    <s v="Wholesale"/>
    <n v="0"/>
    <x v="4"/>
    <n v="1605.92"/>
    <s v="Gift Card"/>
    <s v="SAVE10"/>
    <n v="1"/>
    <s v="REG101149"/>
    <s v="Cust 4571"/>
    <n v="30.7"/>
    <d v="2023-08-08T00:00:00"/>
    <d v="2023-08-10T00:00:00"/>
    <s v="Wendy"/>
    <x v="18"/>
    <x v="9"/>
  </r>
  <r>
    <d v="2023-08-21T00:00:00"/>
    <x v="0"/>
    <x v="0"/>
    <n v="3"/>
    <n v="142.09"/>
    <s v="Store C"/>
    <s v="Wholesale"/>
    <n v="0.15"/>
    <x v="2"/>
    <n v="362.3295"/>
    <s v="Gift Card"/>
    <s v="WINTER15"/>
    <n v="0"/>
    <s v="REG101150"/>
    <s v="Cust 6453"/>
    <n v="26.04"/>
    <d v="2023-08-21T00:00:00"/>
    <d v="2023-08-27T00:00:00"/>
    <s v="Eric"/>
    <x v="18"/>
    <x v="9"/>
  </r>
  <r>
    <d v="2024-07-07T00:00:00"/>
    <x v="2"/>
    <x v="5"/>
    <n v="15"/>
    <n v="576.12"/>
    <s v="Store D"/>
    <s v="Retail"/>
    <n v="0.1"/>
    <x v="1"/>
    <n v="7777.62"/>
    <s v="Online"/>
    <s v="WINTER15"/>
    <n v="0"/>
    <s v="REG101151"/>
    <s v="Cust 6982"/>
    <n v="29.31"/>
    <d v="2024-07-07T00:00:00"/>
    <d v="2024-07-11T00:00:00"/>
    <s v="Ryan"/>
    <x v="10"/>
    <x v="8"/>
  </r>
  <r>
    <d v="2025-01-17T00:00:00"/>
    <x v="1"/>
    <x v="2"/>
    <n v="9"/>
    <n v="96.97"/>
    <s v="Store D"/>
    <s v="Retail"/>
    <n v="0.15"/>
    <x v="5"/>
    <n v="741.82050000000004"/>
    <s v="Credit Card"/>
    <s v="WINTER15"/>
    <n v="1"/>
    <s v="REG101152"/>
    <s v="Cust 6824"/>
    <n v="30.87"/>
    <d v="2025-01-17T00:00:00"/>
    <d v="2025-01-24T00:00:00"/>
    <s v="Sophie"/>
    <x v="12"/>
    <x v="3"/>
  </r>
  <r>
    <d v="2023-12-06T00:00:00"/>
    <x v="2"/>
    <x v="5"/>
    <n v="17"/>
    <n v="218.04"/>
    <s v="Store D"/>
    <s v="Wholesale"/>
    <n v="0.15"/>
    <x v="5"/>
    <n v="3150.6779999999999"/>
    <s v="Cash"/>
    <m/>
    <n v="0"/>
    <s v="REG101153"/>
    <s v="Cust 3172"/>
    <n v="16"/>
    <d v="2023-12-06T00:00:00"/>
    <d v="2023-12-16T00:00:00"/>
    <s v="Ryan"/>
    <x v="27"/>
    <x v="12"/>
  </r>
  <r>
    <d v="2023-03-01T00:00:00"/>
    <x v="1"/>
    <x v="2"/>
    <n v="2"/>
    <n v="153.33000000000001"/>
    <s v="Store C"/>
    <s v="Wholesale"/>
    <n v="0.05"/>
    <x v="3"/>
    <n v="291.327"/>
    <s v="Cash"/>
    <m/>
    <n v="0"/>
    <s v="REG101154"/>
    <s v="Cust 8146"/>
    <n v="31.55"/>
    <d v="2023-03-01T00:00:00"/>
    <d v="2023-03-04T00:00:00"/>
    <s v="Sophie"/>
    <x v="17"/>
    <x v="0"/>
  </r>
  <r>
    <d v="2025-02-11T00:00:00"/>
    <x v="2"/>
    <x v="6"/>
    <n v="8"/>
    <n v="316.12"/>
    <s v="Store B"/>
    <s v="Wholesale"/>
    <n v="0.1"/>
    <x v="4"/>
    <n v="2276.0639999999999"/>
    <s v="Gift Card"/>
    <s v="WINTER15"/>
    <n v="0"/>
    <s v="REG101155"/>
    <s v="Cust 3299"/>
    <n v="6.28"/>
    <d v="2025-02-11T00:00:00"/>
    <d v="2025-02-15T00:00:00"/>
    <s v="Ryan"/>
    <x v="3"/>
    <x v="3"/>
  </r>
  <r>
    <d v="2023-06-20T00:00:00"/>
    <x v="3"/>
    <x v="6"/>
    <n v="13"/>
    <n v="153.57"/>
    <s v="Store B"/>
    <s v="Wholesale"/>
    <n v="0.05"/>
    <x v="3"/>
    <n v="1896.5895"/>
    <s v="Gift Card"/>
    <m/>
    <n v="0"/>
    <s v="REG101156"/>
    <s v="Cust 6476"/>
    <n v="27.98"/>
    <d v="2023-06-20T00:00:00"/>
    <d v="2023-06-25T00:00:00"/>
    <s v="Cameron"/>
    <x v="4"/>
    <x v="2"/>
  </r>
  <r>
    <d v="2024-02-29T00:00:00"/>
    <x v="4"/>
    <x v="6"/>
    <n v="7"/>
    <n v="208.31"/>
    <s v="Store C"/>
    <s v="Wholesale"/>
    <n v="0.05"/>
    <x v="2"/>
    <n v="1385.2615000000001"/>
    <s v="Online"/>
    <s v="SAVE10"/>
    <n v="0"/>
    <s v="REG101157"/>
    <s v="Cust 9835"/>
    <n v="26.57"/>
    <d v="2024-02-29T00:00:00"/>
    <d v="2024-03-03T00:00:00"/>
    <s v="Wendy"/>
    <x v="5"/>
    <x v="4"/>
  </r>
  <r>
    <d v="2025-06-30T00:00:00"/>
    <x v="2"/>
    <x v="3"/>
    <n v="2"/>
    <n v="160.96"/>
    <s v="Store C"/>
    <s v="Wholesale"/>
    <n v="0.1"/>
    <x v="0"/>
    <n v="289.72800000000001"/>
    <s v="Gift Card"/>
    <s v="WINTER15"/>
    <n v="0"/>
    <s v="REG101158"/>
    <s v="Cust 1003"/>
    <n v="44.97"/>
    <d v="2025-06-30T00:00:00"/>
    <d v="2025-07-05T00:00:00"/>
    <s v="Ryan"/>
    <x v="16"/>
    <x v="10"/>
  </r>
  <r>
    <d v="2024-08-19T00:00:00"/>
    <x v="2"/>
    <x v="4"/>
    <n v="3"/>
    <n v="373.77"/>
    <s v="Store B"/>
    <s v="Retail"/>
    <n v="0.1"/>
    <x v="0"/>
    <n v="1009.179"/>
    <s v="Cash"/>
    <s v="WINTER15"/>
    <n v="1"/>
    <s v="REG101159"/>
    <s v="Cust 9705"/>
    <n v="17.62"/>
    <d v="2024-08-19T00:00:00"/>
    <d v="2024-08-25T00:00:00"/>
    <s v="Ryan"/>
    <x v="29"/>
    <x v="8"/>
  </r>
  <r>
    <d v="2024-01-15T00:00:00"/>
    <x v="3"/>
    <x v="6"/>
    <n v="20"/>
    <n v="200.7"/>
    <s v="Store D"/>
    <s v="Retail"/>
    <n v="0.1"/>
    <x v="1"/>
    <n v="3612.6"/>
    <s v="Online"/>
    <s v="FREESHIP"/>
    <n v="0"/>
    <s v="REG101160"/>
    <s v="Cust 3421"/>
    <n v="29.6"/>
    <d v="2024-01-15T00:00:00"/>
    <d v="2024-01-19T00:00:00"/>
    <s v="Cameron"/>
    <x v="24"/>
    <x v="4"/>
  </r>
  <r>
    <d v="2024-08-08T00:00:00"/>
    <x v="3"/>
    <x v="2"/>
    <n v="14"/>
    <n v="115.77"/>
    <s v="Store B"/>
    <s v="Wholesale"/>
    <n v="0.15"/>
    <x v="2"/>
    <n v="1377.663"/>
    <s v="Credit Card"/>
    <s v="SAVE10"/>
    <n v="1"/>
    <s v="REG101161"/>
    <s v="Cust 1690"/>
    <n v="20.12"/>
    <d v="2024-08-08T00:00:00"/>
    <d v="2024-08-11T00:00:00"/>
    <s v="Cameron"/>
    <x v="29"/>
    <x v="8"/>
  </r>
  <r>
    <d v="2024-10-05T00:00:00"/>
    <x v="4"/>
    <x v="1"/>
    <n v="12"/>
    <n v="535.41"/>
    <s v="Store C"/>
    <s v="Retail"/>
    <n v="0.1"/>
    <x v="2"/>
    <n v="5782.4279999999999"/>
    <s v="Gift Card"/>
    <m/>
    <n v="0"/>
    <s v="REG101162"/>
    <s v="Cust 2507"/>
    <n v="27.82"/>
    <d v="2024-10-05T00:00:00"/>
    <d v="2024-10-07T00:00:00"/>
    <s v="Wendy"/>
    <x v="7"/>
    <x v="5"/>
  </r>
  <r>
    <d v="2024-01-13T00:00:00"/>
    <x v="1"/>
    <x v="2"/>
    <n v="12"/>
    <n v="103.59"/>
    <s v="Store A"/>
    <s v="Retail"/>
    <n v="0.1"/>
    <x v="2"/>
    <n v="1118.7719999999999"/>
    <s v="Debit Card"/>
    <s v="FREESHIP"/>
    <n v="0"/>
    <s v="REG101163"/>
    <s v="Cust 9880"/>
    <n v="48.11"/>
    <d v="2024-01-13T00:00:00"/>
    <d v="2024-01-21T00:00:00"/>
    <s v="Sophie"/>
    <x v="24"/>
    <x v="4"/>
  </r>
  <r>
    <d v="2023-03-29T00:00:00"/>
    <x v="4"/>
    <x v="0"/>
    <n v="18"/>
    <n v="176.32"/>
    <s v="Store B"/>
    <s v="Wholesale"/>
    <n v="0.05"/>
    <x v="4"/>
    <n v="3015.0720000000001"/>
    <s v="Debit Card"/>
    <m/>
    <n v="0"/>
    <s v="REG101164"/>
    <s v="Cust 3972"/>
    <n v="36.35"/>
    <d v="2023-03-29T00:00:00"/>
    <d v="2023-04-04T00:00:00"/>
    <s v="Wendy"/>
    <x v="17"/>
    <x v="13"/>
  </r>
  <r>
    <d v="2023-10-19T00:00:00"/>
    <x v="2"/>
    <x v="6"/>
    <n v="5"/>
    <n v="112.44"/>
    <s v="Store D"/>
    <s v="Retail"/>
    <n v="0.1"/>
    <x v="5"/>
    <n v="505.98000000000008"/>
    <s v="Credit Card"/>
    <m/>
    <n v="1"/>
    <s v="REG101165"/>
    <s v="Cust 8280"/>
    <n v="7.46"/>
    <d v="2023-10-19T00:00:00"/>
    <d v="2023-10-23T00:00:00"/>
    <s v="Ryan"/>
    <x v="19"/>
    <x v="14"/>
  </r>
  <r>
    <d v="2023-10-23T00:00:00"/>
    <x v="4"/>
    <x v="3"/>
    <n v="20"/>
    <n v="19.3"/>
    <s v="Store C"/>
    <s v="Wholesale"/>
    <n v="0"/>
    <x v="5"/>
    <n v="386"/>
    <s v="Debit Card"/>
    <s v="SAVE10"/>
    <n v="0"/>
    <s v="REG101166"/>
    <s v="Cust 4205"/>
    <n v="47.23"/>
    <d v="2023-10-23T00:00:00"/>
    <d v="2023-11-01T00:00:00"/>
    <s v="Wendy"/>
    <x v="19"/>
    <x v="14"/>
  </r>
  <r>
    <d v="2023-03-24T00:00:00"/>
    <x v="1"/>
    <x v="1"/>
    <n v="9"/>
    <n v="233.11"/>
    <s v="Store B"/>
    <s v="Retail"/>
    <n v="0.05"/>
    <x v="0"/>
    <n v="1993.0905"/>
    <s v="Debit Card"/>
    <s v="WINTER15"/>
    <n v="0"/>
    <s v="REG101167"/>
    <s v="Cust 2579"/>
    <n v="31.43"/>
    <d v="2023-03-24T00:00:00"/>
    <d v="2023-03-28T00:00:00"/>
    <s v="Sophie"/>
    <x v="17"/>
    <x v="13"/>
  </r>
  <r>
    <d v="2024-08-09T00:00:00"/>
    <x v="4"/>
    <x v="6"/>
    <n v="17"/>
    <n v="66.48"/>
    <s v="Store C"/>
    <s v="Wholesale"/>
    <n v="0.15"/>
    <x v="0"/>
    <n v="960.63600000000008"/>
    <s v="Gift Card"/>
    <s v="WINTER15"/>
    <n v="1"/>
    <s v="REG101168"/>
    <s v="Cust 7265"/>
    <n v="10.79"/>
    <d v="2024-08-09T00:00:00"/>
    <d v="2024-08-14T00:00:00"/>
    <s v="Wendy"/>
    <x v="29"/>
    <x v="8"/>
  </r>
  <r>
    <d v="2023-04-26T00:00:00"/>
    <x v="1"/>
    <x v="0"/>
    <n v="17"/>
    <n v="504.63"/>
    <s v="Store A"/>
    <s v="Wholesale"/>
    <n v="0.1"/>
    <x v="3"/>
    <n v="7720.838999999999"/>
    <s v="Online"/>
    <s v="WINTER15"/>
    <n v="1"/>
    <s v="REG101169"/>
    <s v="Cust 1199"/>
    <n v="48.33"/>
    <d v="2023-04-26T00:00:00"/>
    <d v="2023-05-06T00:00:00"/>
    <s v="Sophie"/>
    <x v="21"/>
    <x v="13"/>
  </r>
  <r>
    <d v="2024-03-04T00:00:00"/>
    <x v="4"/>
    <x v="5"/>
    <n v="11"/>
    <n v="97.84"/>
    <s v="Store B"/>
    <s v="Retail"/>
    <n v="0.05"/>
    <x v="1"/>
    <n v="1022.428"/>
    <s v="Debit Card"/>
    <s v="SAVE10"/>
    <n v="1"/>
    <s v="REG101170"/>
    <s v="Cust 2928"/>
    <n v="45.97"/>
    <d v="2024-03-04T00:00:00"/>
    <d v="2024-03-12T00:00:00"/>
    <s v="Wendy"/>
    <x v="25"/>
    <x v="4"/>
  </r>
  <r>
    <d v="2023-02-14T00:00:00"/>
    <x v="0"/>
    <x v="5"/>
    <n v="7"/>
    <n v="468.14"/>
    <s v="Store A"/>
    <s v="Retail"/>
    <n v="0.15"/>
    <x v="5"/>
    <n v="2785.433"/>
    <s v="Cash"/>
    <s v="SAVE10"/>
    <n v="0"/>
    <s v="REG101171"/>
    <s v="Cust 9447"/>
    <n v="47.56"/>
    <d v="2023-02-14T00:00:00"/>
    <d v="2023-02-17T00:00:00"/>
    <s v="Eric"/>
    <x v="0"/>
    <x v="0"/>
  </r>
  <r>
    <d v="2023-04-28T00:00:00"/>
    <x v="4"/>
    <x v="5"/>
    <n v="20"/>
    <n v="476.69"/>
    <s v="Store B"/>
    <s v="Wholesale"/>
    <n v="0.05"/>
    <x v="5"/>
    <n v="9057.1099999999988"/>
    <s v="Online"/>
    <s v="WINTER15"/>
    <n v="0"/>
    <s v="REG101172"/>
    <s v="Cust 9095"/>
    <n v="10.199999999999999"/>
    <d v="2023-04-28T00:00:00"/>
    <d v="2023-05-03T00:00:00"/>
    <s v="Wendy"/>
    <x v="21"/>
    <x v="13"/>
  </r>
  <r>
    <d v="2024-03-03T00:00:00"/>
    <x v="2"/>
    <x v="1"/>
    <n v="2"/>
    <n v="160.72999999999999"/>
    <s v="Store A"/>
    <s v="Wholesale"/>
    <n v="0.15"/>
    <x v="2"/>
    <n v="273.24099999999999"/>
    <s v="Cash"/>
    <s v="FREESHIP"/>
    <n v="0"/>
    <s v="REG101173"/>
    <s v="Cust 7587"/>
    <n v="20.18"/>
    <d v="2024-03-03T00:00:00"/>
    <d v="2024-03-11T00:00:00"/>
    <s v="Ryan"/>
    <x v="25"/>
    <x v="4"/>
  </r>
  <r>
    <d v="2024-09-04T00:00:00"/>
    <x v="4"/>
    <x v="5"/>
    <n v="9"/>
    <n v="228.98"/>
    <s v="Store D"/>
    <s v="Retail"/>
    <n v="0.15"/>
    <x v="2"/>
    <n v="1751.6969999999999"/>
    <s v="Online"/>
    <s v="WINTER15"/>
    <n v="0"/>
    <s v="REG101174"/>
    <s v="Cust 2611"/>
    <n v="45.79"/>
    <d v="2024-09-04T00:00:00"/>
    <d v="2024-09-08T00:00:00"/>
    <s v="Wendy"/>
    <x v="26"/>
    <x v="5"/>
  </r>
  <r>
    <d v="2024-12-30T00:00:00"/>
    <x v="0"/>
    <x v="5"/>
    <n v="19"/>
    <n v="336.5"/>
    <s v="Store B"/>
    <s v="Wholesale"/>
    <n v="0"/>
    <x v="1"/>
    <n v="6393.5"/>
    <s v="Online"/>
    <s v="WINTER15"/>
    <n v="0"/>
    <s v="REG101175"/>
    <s v="Cust 8284"/>
    <n v="27.43"/>
    <d v="2024-12-30T00:00:00"/>
    <d v="2025-01-07T00:00:00"/>
    <s v="Eric"/>
    <x v="1"/>
    <x v="16"/>
  </r>
  <r>
    <d v="2024-02-10T00:00:00"/>
    <x v="0"/>
    <x v="6"/>
    <n v="18"/>
    <n v="411.59"/>
    <s v="Store A"/>
    <s v="Wholesale"/>
    <n v="0"/>
    <x v="5"/>
    <n v="7408.62"/>
    <s v="Credit Card"/>
    <s v="WINTER15"/>
    <n v="0"/>
    <s v="REG101176"/>
    <s v="Cust 8154"/>
    <n v="9.6199999999999992"/>
    <d v="2024-02-10T00:00:00"/>
    <d v="2024-02-16T00:00:00"/>
    <s v="Eric"/>
    <x v="5"/>
    <x v="4"/>
  </r>
  <r>
    <d v="2023-09-07T00:00:00"/>
    <x v="3"/>
    <x v="6"/>
    <n v="1"/>
    <n v="431.49"/>
    <s v="Store C"/>
    <s v="Wholesale"/>
    <n v="0.15"/>
    <x v="1"/>
    <n v="366.76650000000001"/>
    <s v="Cash"/>
    <s v="SAVE10"/>
    <n v="0"/>
    <s v="REG101177"/>
    <s v="Cust 5215"/>
    <n v="17.53"/>
    <d v="2023-09-07T00:00:00"/>
    <d v="2023-09-15T00:00:00"/>
    <s v="Cameron"/>
    <x v="22"/>
    <x v="14"/>
  </r>
  <r>
    <d v="2023-08-11T00:00:00"/>
    <x v="0"/>
    <x v="0"/>
    <n v="18"/>
    <n v="495.39"/>
    <s v="Store A"/>
    <s v="Wholesale"/>
    <n v="0"/>
    <x v="3"/>
    <n v="8917.02"/>
    <s v="Gift Card"/>
    <s v="SAVE10"/>
    <n v="0"/>
    <s v="REG101178"/>
    <s v="Cust 5309"/>
    <n v="14.88"/>
    <d v="2023-08-11T00:00:00"/>
    <d v="2023-08-15T00:00:00"/>
    <s v="Eric"/>
    <x v="18"/>
    <x v="9"/>
  </r>
  <r>
    <d v="2023-03-12T00:00:00"/>
    <x v="4"/>
    <x v="1"/>
    <n v="4"/>
    <n v="149.30000000000001"/>
    <s v="Store A"/>
    <s v="Wholesale"/>
    <n v="0.1"/>
    <x v="4"/>
    <n v="537.48"/>
    <s v="Debit Card"/>
    <s v="FREESHIP"/>
    <n v="0"/>
    <s v="REG101179"/>
    <s v="Cust 2016"/>
    <n v="47.84"/>
    <d v="2023-03-12T00:00:00"/>
    <d v="2023-03-16T00:00:00"/>
    <s v="Wendy"/>
    <x v="17"/>
    <x v="13"/>
  </r>
  <r>
    <d v="2023-03-29T00:00:00"/>
    <x v="3"/>
    <x v="2"/>
    <n v="18"/>
    <n v="179.97"/>
    <s v="Store C"/>
    <s v="Wholesale"/>
    <n v="0.1"/>
    <x v="0"/>
    <n v="2915.5140000000001"/>
    <s v="Cash"/>
    <s v="SAVE10"/>
    <n v="0"/>
    <s v="REG101180"/>
    <s v="Cust 2676"/>
    <n v="22.15"/>
    <d v="2023-03-29T00:00:00"/>
    <d v="2023-03-31T00:00:00"/>
    <s v="Cameron"/>
    <x v="17"/>
    <x v="13"/>
  </r>
  <r>
    <d v="2025-02-17T00:00:00"/>
    <x v="1"/>
    <x v="3"/>
    <n v="11"/>
    <n v="381.14"/>
    <s v="Store B"/>
    <s v="Retail"/>
    <n v="0.05"/>
    <x v="2"/>
    <n v="3982.913"/>
    <s v="Gift Card"/>
    <s v="FREESHIP"/>
    <n v="0"/>
    <s v="REG101181"/>
    <s v="Cust 7529"/>
    <n v="32.83"/>
    <d v="2025-02-17T00:00:00"/>
    <d v="2025-02-27T00:00:00"/>
    <s v="Sophie"/>
    <x v="3"/>
    <x v="3"/>
  </r>
  <r>
    <d v="2024-01-07T00:00:00"/>
    <x v="2"/>
    <x v="3"/>
    <n v="5"/>
    <n v="454.62"/>
    <s v="Store C"/>
    <s v="Wholesale"/>
    <n v="0.05"/>
    <x v="4"/>
    <n v="2159.4450000000002"/>
    <s v="Gift Card"/>
    <m/>
    <n v="0"/>
    <s v="REG101182"/>
    <s v="Cust 6172"/>
    <n v="10.19"/>
    <d v="2024-01-07T00:00:00"/>
    <d v="2024-01-15T00:00:00"/>
    <s v="Ryan"/>
    <x v="24"/>
    <x v="4"/>
  </r>
  <r>
    <d v="2023-01-14T00:00:00"/>
    <x v="0"/>
    <x v="1"/>
    <n v="17"/>
    <n v="226.56"/>
    <s v="Store A"/>
    <s v="Wholesale"/>
    <n v="0.1"/>
    <x v="4"/>
    <n v="3466.3679999999999"/>
    <s v="Gift Card"/>
    <s v="WINTER15"/>
    <n v="1"/>
    <s v="REG101183"/>
    <s v="Cust 2527"/>
    <n v="36.89"/>
    <d v="2023-01-14T00:00:00"/>
    <d v="2023-01-20T00:00:00"/>
    <s v="Eric"/>
    <x v="6"/>
    <x v="0"/>
  </r>
  <r>
    <d v="2024-01-03T00:00:00"/>
    <x v="4"/>
    <x v="0"/>
    <n v="2"/>
    <n v="132.91"/>
    <s v="Store A"/>
    <s v="Wholesale"/>
    <n v="0"/>
    <x v="5"/>
    <n v="265.82"/>
    <s v="Debit Card"/>
    <s v="WINTER15"/>
    <n v="0"/>
    <s v="REG101184"/>
    <s v="Cust 1970"/>
    <n v="7.76"/>
    <d v="2024-01-03T00:00:00"/>
    <d v="2024-01-12T00:00:00"/>
    <s v="Wendy"/>
    <x v="24"/>
    <x v="4"/>
  </r>
  <r>
    <d v="2023-08-25T00:00:00"/>
    <x v="1"/>
    <x v="2"/>
    <n v="2"/>
    <n v="35.69"/>
    <s v="Store C"/>
    <s v="Retail"/>
    <n v="0"/>
    <x v="0"/>
    <n v="71.38"/>
    <s v="Debit Card"/>
    <s v="FREESHIP"/>
    <n v="0"/>
    <s v="REG101185"/>
    <s v="Cust 9543"/>
    <n v="39.89"/>
    <d v="2023-08-25T00:00:00"/>
    <d v="2023-08-28T00:00:00"/>
    <s v="Sophie"/>
    <x v="18"/>
    <x v="9"/>
  </r>
  <r>
    <d v="2025-05-16T00:00:00"/>
    <x v="2"/>
    <x v="2"/>
    <n v="6"/>
    <n v="451.93"/>
    <s v="Store A"/>
    <s v="Wholesale"/>
    <n v="0.15"/>
    <x v="0"/>
    <n v="2304.8429999999998"/>
    <s v="Cash"/>
    <s v="WINTER15"/>
    <n v="1"/>
    <s v="REG101186"/>
    <s v="Cust 2957"/>
    <n v="49.37"/>
    <d v="2025-05-16T00:00:00"/>
    <d v="2025-05-25T00:00:00"/>
    <s v="Ryan"/>
    <x v="13"/>
    <x v="10"/>
  </r>
  <r>
    <d v="2023-12-30T00:00:00"/>
    <x v="1"/>
    <x v="0"/>
    <n v="7"/>
    <n v="270.47000000000003"/>
    <s v="Store D"/>
    <s v="Wholesale"/>
    <n v="0.05"/>
    <x v="4"/>
    <n v="1798.6255000000001"/>
    <s v="Credit Card"/>
    <s v="WINTER15"/>
    <n v="1"/>
    <s v="REG101187"/>
    <s v="Cust 2852"/>
    <n v="41.56"/>
    <d v="2023-12-30T00:00:00"/>
    <d v="2024-01-03T00:00:00"/>
    <s v="Sophie"/>
    <x v="27"/>
    <x v="12"/>
  </r>
  <r>
    <d v="2024-10-06T00:00:00"/>
    <x v="1"/>
    <x v="1"/>
    <n v="13"/>
    <n v="55.46"/>
    <s v="Store A"/>
    <s v="Retail"/>
    <n v="0.05"/>
    <x v="5"/>
    <n v="684.93100000000004"/>
    <s v="Credit Card"/>
    <s v="FREESHIP"/>
    <n v="1"/>
    <s v="REG101188"/>
    <s v="Cust 6365"/>
    <n v="18.010000000000002"/>
    <d v="2024-10-06T00:00:00"/>
    <d v="2024-10-09T00:00:00"/>
    <s v="Sophie"/>
    <x v="7"/>
    <x v="5"/>
  </r>
  <r>
    <d v="2023-03-12T00:00:00"/>
    <x v="3"/>
    <x v="5"/>
    <n v="17"/>
    <n v="515.12"/>
    <s v="Store D"/>
    <s v="Wholesale"/>
    <n v="0.15"/>
    <x v="5"/>
    <n v="7443.4840000000004"/>
    <s v="Credit Card"/>
    <s v="SAVE10"/>
    <n v="1"/>
    <s v="REG101189"/>
    <s v="Cust 9159"/>
    <n v="32.74"/>
    <d v="2023-03-12T00:00:00"/>
    <d v="2023-03-22T00:00:00"/>
    <s v="Cameron"/>
    <x v="17"/>
    <x v="13"/>
  </r>
  <r>
    <d v="2024-04-06T00:00:00"/>
    <x v="2"/>
    <x v="1"/>
    <n v="1"/>
    <n v="256.63"/>
    <s v="Store D"/>
    <s v="Wholesale"/>
    <n v="0"/>
    <x v="3"/>
    <n v="256.63"/>
    <s v="Gift Card"/>
    <s v="FREESHIP"/>
    <n v="0"/>
    <s v="REG101190"/>
    <s v="Cust 3252"/>
    <n v="12.97"/>
    <d v="2024-04-06T00:00:00"/>
    <d v="2024-04-08T00:00:00"/>
    <s v="Ryan"/>
    <x v="9"/>
    <x v="7"/>
  </r>
  <r>
    <d v="2023-01-20T00:00:00"/>
    <x v="2"/>
    <x v="5"/>
    <n v="4"/>
    <n v="423.99"/>
    <s v="Store B"/>
    <s v="Retail"/>
    <n v="0.05"/>
    <x v="2"/>
    <n v="1611.162"/>
    <s v="Online"/>
    <s v="FREESHIP"/>
    <n v="0"/>
    <s v="REG101191"/>
    <s v="Cust 8679"/>
    <n v="20.05"/>
    <d v="2023-01-20T00:00:00"/>
    <d v="2023-01-25T00:00:00"/>
    <s v="Ryan"/>
    <x v="6"/>
    <x v="0"/>
  </r>
  <r>
    <d v="2024-07-08T00:00:00"/>
    <x v="4"/>
    <x v="0"/>
    <n v="15"/>
    <n v="77.89"/>
    <s v="Store B"/>
    <s v="Wholesale"/>
    <n v="0.05"/>
    <x v="4"/>
    <n v="1109.9324999999999"/>
    <s v="Credit Card"/>
    <m/>
    <n v="0"/>
    <s v="REG101192"/>
    <s v="Cust 5547"/>
    <n v="20.87"/>
    <d v="2024-07-08T00:00:00"/>
    <d v="2024-07-12T00:00:00"/>
    <s v="Wendy"/>
    <x v="10"/>
    <x v="8"/>
  </r>
  <r>
    <d v="2023-10-06T00:00:00"/>
    <x v="2"/>
    <x v="1"/>
    <n v="12"/>
    <n v="11.95"/>
    <s v="Store A"/>
    <s v="Retail"/>
    <n v="0.05"/>
    <x v="3"/>
    <n v="136.22999999999999"/>
    <s v="Online"/>
    <m/>
    <n v="0"/>
    <s v="REG101193"/>
    <s v="Cust 9438"/>
    <n v="26.66"/>
    <d v="2023-10-06T00:00:00"/>
    <d v="2023-10-16T00:00:00"/>
    <s v="Ryan"/>
    <x v="19"/>
    <x v="14"/>
  </r>
  <r>
    <d v="2023-09-11T00:00:00"/>
    <x v="0"/>
    <x v="2"/>
    <n v="7"/>
    <n v="67.05"/>
    <s v="Store D"/>
    <s v="Wholesale"/>
    <n v="0.1"/>
    <x v="3"/>
    <n v="422.41500000000002"/>
    <s v="Cash"/>
    <s v="FREESHIP"/>
    <n v="0"/>
    <s v="REG101194"/>
    <s v="Cust 9092"/>
    <n v="36.67"/>
    <d v="2023-09-11T00:00:00"/>
    <d v="2023-09-18T00:00:00"/>
    <s v="Eric"/>
    <x v="22"/>
    <x v="14"/>
  </r>
  <r>
    <d v="2023-09-14T00:00:00"/>
    <x v="2"/>
    <x v="1"/>
    <n v="19"/>
    <n v="118.15"/>
    <s v="Store C"/>
    <s v="Retail"/>
    <n v="0.15"/>
    <x v="2"/>
    <n v="1908.1224999999999"/>
    <s v="Cash"/>
    <s v="SAVE10"/>
    <n v="0"/>
    <s v="REG101195"/>
    <s v="Cust 7007"/>
    <n v="12.95"/>
    <d v="2023-09-14T00:00:00"/>
    <d v="2023-09-19T00:00:00"/>
    <s v="Ryan"/>
    <x v="22"/>
    <x v="14"/>
  </r>
  <r>
    <d v="2023-11-06T00:00:00"/>
    <x v="2"/>
    <x v="6"/>
    <n v="16"/>
    <n v="114.47"/>
    <s v="Store B"/>
    <s v="Wholesale"/>
    <n v="0.15"/>
    <x v="3"/>
    <n v="1556.7919999999999"/>
    <s v="Online"/>
    <m/>
    <n v="0"/>
    <s v="REG101196"/>
    <s v="Cust 3001"/>
    <n v="43.85"/>
    <d v="2023-11-06T00:00:00"/>
    <d v="2023-11-11T00:00:00"/>
    <s v="Ryan"/>
    <x v="15"/>
    <x v="12"/>
  </r>
  <r>
    <d v="2024-06-23T00:00:00"/>
    <x v="2"/>
    <x v="4"/>
    <n v="9"/>
    <n v="36.21"/>
    <s v="Store C"/>
    <s v="Wholesale"/>
    <n v="0.15"/>
    <x v="5"/>
    <n v="277.00650000000002"/>
    <s v="Credit Card"/>
    <s v="FREESHIP"/>
    <n v="0"/>
    <s v="REG101197"/>
    <s v="Cust 5771"/>
    <n v="6.71"/>
    <d v="2024-06-23T00:00:00"/>
    <d v="2024-06-30T00:00:00"/>
    <s v="Ryan"/>
    <x v="23"/>
    <x v="11"/>
  </r>
  <r>
    <d v="2023-03-30T00:00:00"/>
    <x v="4"/>
    <x v="6"/>
    <n v="10"/>
    <n v="52.58"/>
    <s v="Store B"/>
    <s v="Wholesale"/>
    <n v="0.1"/>
    <x v="0"/>
    <n v="473.22"/>
    <s v="Cash"/>
    <s v="WINTER15"/>
    <n v="0"/>
    <s v="REG101198"/>
    <s v="Cust 4317"/>
    <n v="14.01"/>
    <d v="2023-03-30T00:00:00"/>
    <d v="2023-04-09T00:00:00"/>
    <s v="Wendy"/>
    <x v="17"/>
    <x v="13"/>
  </r>
  <r>
    <d v="2024-10-05T00:00:00"/>
    <x v="0"/>
    <x v="1"/>
    <n v="6"/>
    <n v="272.26"/>
    <s v="Store A"/>
    <s v="Retail"/>
    <n v="0.1"/>
    <x v="3"/>
    <n v="1470.204"/>
    <s v="Debit Card"/>
    <s v="SAVE10"/>
    <n v="0"/>
    <s v="REG101199"/>
    <s v="Cust 3627"/>
    <n v="43.67"/>
    <d v="2024-10-05T00:00:00"/>
    <d v="2024-10-15T00:00:00"/>
    <s v="Eric"/>
    <x v="7"/>
    <x v="5"/>
  </r>
  <r>
    <d v="2023-03-19T00:00:00"/>
    <x v="3"/>
    <x v="3"/>
    <n v="10"/>
    <n v="124.97"/>
    <s v="Store D"/>
    <s v="Retail"/>
    <n v="0.15"/>
    <x v="0"/>
    <n v="1062.2449999999999"/>
    <s v="Gift Card"/>
    <s v="WINTER15"/>
    <n v="1"/>
    <s v="REG101200"/>
    <s v="Cust 4433"/>
    <n v="40.229999999999997"/>
    <d v="2023-03-19T00:00:00"/>
    <d v="2023-03-29T00:00:00"/>
    <s v="Cameron"/>
    <x v="17"/>
    <x v="13"/>
  </r>
  <r>
    <d v="2025-03-17T00:00:00"/>
    <x v="2"/>
    <x v="1"/>
    <n v="9"/>
    <n v="228.62"/>
    <s v="Store C"/>
    <s v="Retail"/>
    <n v="0.05"/>
    <x v="0"/>
    <n v="1954.701"/>
    <s v="Gift Card"/>
    <s v="SAVE10"/>
    <n v="0"/>
    <s v="REG101201"/>
    <s v="Cust 6231"/>
    <n v="31.43"/>
    <d v="2025-03-17T00:00:00"/>
    <d v="2025-03-21T00:00:00"/>
    <s v="Ryan"/>
    <x v="8"/>
    <x v="6"/>
  </r>
  <r>
    <d v="2024-12-18T00:00:00"/>
    <x v="3"/>
    <x v="0"/>
    <n v="20"/>
    <n v="282.91000000000003"/>
    <s v="Store A"/>
    <s v="Wholesale"/>
    <n v="0.15"/>
    <x v="2"/>
    <n v="4809.47"/>
    <s v="Debit Card"/>
    <s v="FREESHIP"/>
    <n v="0"/>
    <s v="REG101202"/>
    <s v="Cust 8987"/>
    <n v="8.19"/>
    <d v="2024-12-18T00:00:00"/>
    <d v="2024-12-28T00:00:00"/>
    <s v="Cameron"/>
    <x v="1"/>
    <x v="1"/>
  </r>
  <r>
    <d v="2025-01-06T00:00:00"/>
    <x v="4"/>
    <x v="5"/>
    <n v="17"/>
    <n v="129.62"/>
    <s v="Store D"/>
    <s v="Retail"/>
    <n v="0.15"/>
    <x v="0"/>
    <n v="1873.009"/>
    <s v="Online"/>
    <s v="FREESHIP"/>
    <n v="0"/>
    <s v="REG101203"/>
    <s v="Cust 4510"/>
    <n v="24.28"/>
    <d v="2025-01-06T00:00:00"/>
    <d v="2025-01-08T00:00:00"/>
    <s v="Wendy"/>
    <x v="12"/>
    <x v="3"/>
  </r>
  <r>
    <d v="2025-01-14T00:00:00"/>
    <x v="3"/>
    <x v="4"/>
    <n v="6"/>
    <n v="162.35"/>
    <s v="Store B"/>
    <s v="Wholesale"/>
    <n v="0.05"/>
    <x v="0"/>
    <n v="925.39499999999987"/>
    <s v="Credit Card"/>
    <s v="SAVE10"/>
    <n v="1"/>
    <s v="REG101204"/>
    <s v="Cust 7003"/>
    <n v="19.18"/>
    <d v="2025-01-14T00:00:00"/>
    <d v="2025-01-20T00:00:00"/>
    <s v="Cameron"/>
    <x v="12"/>
    <x v="3"/>
  </r>
  <r>
    <d v="2023-01-26T00:00:00"/>
    <x v="1"/>
    <x v="6"/>
    <n v="14"/>
    <n v="209.82"/>
    <s v="Store B"/>
    <s v="Wholesale"/>
    <n v="0"/>
    <x v="0"/>
    <n v="2937.48"/>
    <s v="Cash"/>
    <s v="SAVE10"/>
    <n v="0"/>
    <s v="REG101205"/>
    <s v="Cust 6546"/>
    <n v="36.11"/>
    <d v="2023-01-26T00:00:00"/>
    <d v="2023-01-30T00:00:00"/>
    <s v="Sophie"/>
    <x v="6"/>
    <x v="0"/>
  </r>
  <r>
    <d v="2024-08-04T00:00:00"/>
    <x v="2"/>
    <x v="0"/>
    <n v="16"/>
    <n v="293.44"/>
    <s v="Store D"/>
    <s v="Wholesale"/>
    <n v="0.05"/>
    <x v="4"/>
    <n v="4460.2879999999996"/>
    <s v="Gift Card"/>
    <s v="SAVE10"/>
    <n v="0"/>
    <s v="REG101206"/>
    <s v="Cust 2951"/>
    <n v="42.56"/>
    <d v="2024-08-04T00:00:00"/>
    <d v="2024-08-14T00:00:00"/>
    <s v="Ryan"/>
    <x v="29"/>
    <x v="8"/>
  </r>
  <r>
    <d v="2024-02-13T00:00:00"/>
    <x v="2"/>
    <x v="1"/>
    <n v="11"/>
    <n v="185.52"/>
    <s v="Store D"/>
    <s v="Wholesale"/>
    <n v="0.15"/>
    <x v="4"/>
    <n v="1734.6120000000001"/>
    <s v="Credit Card"/>
    <s v="WINTER15"/>
    <n v="0"/>
    <s v="REG101207"/>
    <s v="Cust 4673"/>
    <n v="38.53"/>
    <d v="2024-02-13T00:00:00"/>
    <d v="2024-02-16T00:00:00"/>
    <s v="Ryan"/>
    <x v="5"/>
    <x v="4"/>
  </r>
  <r>
    <d v="2023-02-11T00:00:00"/>
    <x v="3"/>
    <x v="2"/>
    <n v="18"/>
    <n v="268.38"/>
    <s v="Store D"/>
    <s v="Wholesale"/>
    <n v="0.15"/>
    <x v="1"/>
    <n v="4106.2139999999999"/>
    <s v="Cash"/>
    <s v="FREESHIP"/>
    <n v="0"/>
    <s v="REG101208"/>
    <s v="Cust 5988"/>
    <n v="48.38"/>
    <d v="2023-02-11T00:00:00"/>
    <d v="2023-02-14T00:00:00"/>
    <s v="Cameron"/>
    <x v="0"/>
    <x v="0"/>
  </r>
  <r>
    <d v="2024-06-17T00:00:00"/>
    <x v="0"/>
    <x v="6"/>
    <n v="18"/>
    <n v="547.04999999999995"/>
    <s v="Store C"/>
    <s v="Wholesale"/>
    <n v="0.1"/>
    <x v="3"/>
    <n v="8862.2099999999991"/>
    <s v="Cash"/>
    <s v="FREESHIP"/>
    <n v="0"/>
    <s v="REG101209"/>
    <s v="Cust 3922"/>
    <n v="10.99"/>
    <d v="2024-06-17T00:00:00"/>
    <d v="2024-06-22T00:00:00"/>
    <s v="Eric"/>
    <x v="23"/>
    <x v="11"/>
  </r>
  <r>
    <d v="2024-06-06T00:00:00"/>
    <x v="1"/>
    <x v="0"/>
    <n v="1"/>
    <n v="354.21"/>
    <s v="Store A"/>
    <s v="Wholesale"/>
    <n v="0.15"/>
    <x v="3"/>
    <n v="301.07850000000002"/>
    <s v="Online"/>
    <m/>
    <n v="0"/>
    <s v="REG101210"/>
    <s v="Cust 9853"/>
    <n v="26.16"/>
    <d v="2024-06-06T00:00:00"/>
    <d v="2024-06-12T00:00:00"/>
    <s v="Sophie"/>
    <x v="23"/>
    <x v="11"/>
  </r>
  <r>
    <d v="2023-11-26T00:00:00"/>
    <x v="1"/>
    <x v="3"/>
    <n v="18"/>
    <n v="250.93"/>
    <s v="Store C"/>
    <s v="Wholesale"/>
    <n v="0.05"/>
    <x v="5"/>
    <n v="4290.9029999999993"/>
    <s v="Gift Card"/>
    <m/>
    <n v="0"/>
    <s v="REG101211"/>
    <s v="Cust 6168"/>
    <n v="47.67"/>
    <d v="2023-11-26T00:00:00"/>
    <d v="2023-12-02T00:00:00"/>
    <s v="Sophie"/>
    <x v="15"/>
    <x v="12"/>
  </r>
  <r>
    <d v="2024-04-07T00:00:00"/>
    <x v="4"/>
    <x v="6"/>
    <n v="18"/>
    <n v="587.25"/>
    <s v="Store C"/>
    <s v="Wholesale"/>
    <n v="0.15"/>
    <x v="3"/>
    <n v="8984.9249999999993"/>
    <s v="Online"/>
    <m/>
    <n v="0"/>
    <s v="REG101212"/>
    <s v="Cust 3175"/>
    <n v="42.15"/>
    <d v="2024-04-07T00:00:00"/>
    <d v="2024-04-09T00:00:00"/>
    <s v="Wendy"/>
    <x v="9"/>
    <x v="7"/>
  </r>
  <r>
    <d v="2023-02-03T00:00:00"/>
    <x v="4"/>
    <x v="2"/>
    <n v="2"/>
    <n v="438.06"/>
    <s v="Store B"/>
    <s v="Retail"/>
    <n v="0"/>
    <x v="2"/>
    <n v="876.12"/>
    <s v="Online"/>
    <s v="FREESHIP"/>
    <n v="1"/>
    <s v="REG101213"/>
    <s v="Cust 1813"/>
    <n v="12.9"/>
    <d v="2023-02-03T00:00:00"/>
    <d v="2023-02-09T00:00:00"/>
    <s v="Wendy"/>
    <x v="0"/>
    <x v="0"/>
  </r>
  <r>
    <d v="2024-11-25T00:00:00"/>
    <x v="0"/>
    <x v="3"/>
    <n v="14"/>
    <n v="6.1"/>
    <s v="Store C"/>
    <s v="Wholesale"/>
    <n v="0.15"/>
    <x v="3"/>
    <n v="72.589999999999989"/>
    <s v="Online"/>
    <s v="FREESHIP"/>
    <n v="1"/>
    <s v="REG101214"/>
    <s v="Cust 7749"/>
    <n v="10.18"/>
    <d v="2024-11-25T00:00:00"/>
    <d v="2024-11-30T00:00:00"/>
    <s v="Eric"/>
    <x v="20"/>
    <x v="1"/>
  </r>
  <r>
    <d v="2024-06-30T00:00:00"/>
    <x v="2"/>
    <x v="0"/>
    <n v="2"/>
    <n v="80.14"/>
    <s v="Store D"/>
    <s v="Wholesale"/>
    <n v="0"/>
    <x v="3"/>
    <n v="160.28"/>
    <s v="Online"/>
    <s v="FREESHIP"/>
    <n v="1"/>
    <s v="REG101215"/>
    <s v="Cust 3416"/>
    <n v="13.41"/>
    <d v="2024-06-30T00:00:00"/>
    <d v="2024-07-03T00:00:00"/>
    <s v="Ryan"/>
    <x v="23"/>
    <x v="11"/>
  </r>
  <r>
    <d v="2023-08-02T00:00:00"/>
    <x v="1"/>
    <x v="0"/>
    <n v="11"/>
    <n v="66.97"/>
    <s v="Store A"/>
    <s v="Retail"/>
    <n v="0.15"/>
    <x v="5"/>
    <n v="626.16949999999997"/>
    <s v="Gift Card"/>
    <s v="FREESHIP"/>
    <n v="1"/>
    <s v="REG101216"/>
    <s v="Cust 7066"/>
    <n v="20.350000000000001"/>
    <d v="2023-08-02T00:00:00"/>
    <d v="2023-08-11T00:00:00"/>
    <s v="Sophie"/>
    <x v="18"/>
    <x v="9"/>
  </r>
  <r>
    <d v="2024-02-22T00:00:00"/>
    <x v="1"/>
    <x v="3"/>
    <n v="6"/>
    <n v="181.34"/>
    <s v="Store A"/>
    <s v="Wholesale"/>
    <n v="0"/>
    <x v="1"/>
    <n v="1088.04"/>
    <s v="Cash"/>
    <s v="FREESHIP"/>
    <n v="0"/>
    <s v="REG101217"/>
    <s v="Cust 5180"/>
    <n v="27.65"/>
    <d v="2024-02-22T00:00:00"/>
    <d v="2024-02-27T00:00:00"/>
    <s v="Sophie"/>
    <x v="5"/>
    <x v="4"/>
  </r>
  <r>
    <d v="2024-11-29T00:00:00"/>
    <x v="2"/>
    <x v="4"/>
    <n v="15"/>
    <n v="570"/>
    <s v="Store D"/>
    <s v="Wholesale"/>
    <n v="0.05"/>
    <x v="2"/>
    <n v="8122.5"/>
    <s v="Gift Card"/>
    <m/>
    <n v="0"/>
    <s v="REG101218"/>
    <s v="Cust 6246"/>
    <n v="7.62"/>
    <d v="2024-11-29T00:00:00"/>
    <d v="2024-12-09T00:00:00"/>
    <s v="Ryan"/>
    <x v="20"/>
    <x v="1"/>
  </r>
  <r>
    <d v="2023-07-21T00:00:00"/>
    <x v="2"/>
    <x v="4"/>
    <n v="9"/>
    <n v="587.79"/>
    <s v="Store D"/>
    <s v="Wholesale"/>
    <n v="0.15"/>
    <x v="5"/>
    <n v="4496.5934999999999"/>
    <s v="Online"/>
    <m/>
    <n v="0"/>
    <s v="REG101219"/>
    <s v="Cust 4182"/>
    <n v="24.64"/>
    <d v="2023-07-21T00:00:00"/>
    <d v="2023-07-31T00:00:00"/>
    <s v="Ryan"/>
    <x v="11"/>
    <x v="9"/>
  </r>
  <r>
    <d v="2023-04-14T00:00:00"/>
    <x v="3"/>
    <x v="1"/>
    <n v="6"/>
    <n v="196.31"/>
    <s v="Store C"/>
    <s v="Retail"/>
    <n v="0.1"/>
    <x v="3"/>
    <n v="1060.0740000000001"/>
    <s v="Online"/>
    <s v="WINTER15"/>
    <n v="0"/>
    <s v="REG101220"/>
    <s v="Cust 6843"/>
    <n v="38.65"/>
    <d v="2023-04-14T00:00:00"/>
    <d v="2023-04-17T00:00:00"/>
    <s v="Cameron"/>
    <x v="21"/>
    <x v="13"/>
  </r>
  <r>
    <d v="2023-02-01T00:00:00"/>
    <x v="2"/>
    <x v="1"/>
    <n v="8"/>
    <n v="430.06"/>
    <s v="Store B"/>
    <s v="Wholesale"/>
    <n v="0.05"/>
    <x v="5"/>
    <n v="3268.4560000000001"/>
    <s v="Debit Card"/>
    <s v="SAVE10"/>
    <n v="0"/>
    <s v="REG101221"/>
    <s v="Cust 6844"/>
    <n v="38.450000000000003"/>
    <d v="2023-02-01T00:00:00"/>
    <d v="2023-02-05T00:00:00"/>
    <s v="Ryan"/>
    <x v="0"/>
    <x v="0"/>
  </r>
  <r>
    <d v="2024-06-30T00:00:00"/>
    <x v="0"/>
    <x v="4"/>
    <n v="14"/>
    <n v="429.72"/>
    <s v="Store A"/>
    <s v="Retail"/>
    <n v="0.1"/>
    <x v="0"/>
    <n v="5414.4719999999998"/>
    <s v="Cash"/>
    <s v="SAVE10"/>
    <n v="0"/>
    <s v="REG101222"/>
    <s v="Cust 3248"/>
    <n v="45.78"/>
    <d v="2024-06-30T00:00:00"/>
    <d v="2024-07-05T00:00:00"/>
    <s v="Eric"/>
    <x v="23"/>
    <x v="11"/>
  </r>
  <r>
    <d v="2023-10-18T00:00:00"/>
    <x v="3"/>
    <x v="1"/>
    <n v="13"/>
    <n v="127.34"/>
    <s v="Store D"/>
    <s v="Wholesale"/>
    <n v="0"/>
    <x v="1"/>
    <n v="1655.42"/>
    <s v="Credit Card"/>
    <s v="WINTER15"/>
    <n v="0"/>
    <s v="REG101223"/>
    <s v="Cust 5226"/>
    <n v="6.15"/>
    <d v="2023-10-18T00:00:00"/>
    <d v="2023-10-21T00:00:00"/>
    <s v="Cameron"/>
    <x v="19"/>
    <x v="14"/>
  </r>
  <r>
    <d v="2024-07-04T00:00:00"/>
    <x v="0"/>
    <x v="4"/>
    <n v="6"/>
    <n v="421.97"/>
    <s v="Store B"/>
    <s v="Wholesale"/>
    <n v="0.05"/>
    <x v="5"/>
    <n v="2405.2289999999998"/>
    <s v="Cash"/>
    <s v="WINTER15"/>
    <n v="0"/>
    <s v="REG101224"/>
    <s v="Cust 9804"/>
    <n v="41.31"/>
    <d v="2024-07-04T00:00:00"/>
    <d v="2024-07-13T00:00:00"/>
    <s v="Eric"/>
    <x v="10"/>
    <x v="8"/>
  </r>
  <r>
    <d v="2024-07-04T00:00:00"/>
    <x v="0"/>
    <x v="5"/>
    <n v="5"/>
    <n v="225.69"/>
    <s v="Store A"/>
    <s v="Wholesale"/>
    <n v="0.15"/>
    <x v="3"/>
    <n v="959.1825"/>
    <s v="Gift Card"/>
    <s v="WINTER15"/>
    <n v="0"/>
    <s v="REG101225"/>
    <s v="Cust 3990"/>
    <n v="47.6"/>
    <d v="2024-07-04T00:00:00"/>
    <d v="2024-07-12T00:00:00"/>
    <s v="Eric"/>
    <x v="10"/>
    <x v="8"/>
  </r>
  <r>
    <d v="2023-07-27T00:00:00"/>
    <x v="2"/>
    <x v="4"/>
    <n v="10"/>
    <n v="322.11"/>
    <s v="Store A"/>
    <s v="Retail"/>
    <n v="0.15"/>
    <x v="4"/>
    <n v="2737.9349999999999"/>
    <s v="Debit Card"/>
    <s v="WINTER15"/>
    <n v="0"/>
    <s v="REG101226"/>
    <s v="Cust 5106"/>
    <n v="28.72"/>
    <d v="2023-07-27T00:00:00"/>
    <d v="2023-08-02T00:00:00"/>
    <s v="Ryan"/>
    <x v="11"/>
    <x v="9"/>
  </r>
  <r>
    <d v="2025-03-01T00:00:00"/>
    <x v="4"/>
    <x v="2"/>
    <n v="4"/>
    <n v="209.3"/>
    <s v="Store B"/>
    <s v="Retail"/>
    <n v="0.05"/>
    <x v="1"/>
    <n v="795.34"/>
    <s v="Gift Card"/>
    <m/>
    <n v="0"/>
    <s v="REG101227"/>
    <s v="Cust 3448"/>
    <n v="6.89"/>
    <d v="2025-03-01T00:00:00"/>
    <d v="2025-03-06T00:00:00"/>
    <s v="Wendy"/>
    <x v="8"/>
    <x v="3"/>
  </r>
  <r>
    <d v="2023-02-23T00:00:00"/>
    <x v="3"/>
    <x v="2"/>
    <n v="16"/>
    <n v="326.16000000000003"/>
    <s v="Store C"/>
    <s v="Wholesale"/>
    <n v="0.1"/>
    <x v="2"/>
    <n v="4696.7040000000006"/>
    <s v="Credit Card"/>
    <m/>
    <n v="0"/>
    <s v="REG101228"/>
    <s v="Cust 1439"/>
    <n v="44.3"/>
    <d v="2023-02-23T00:00:00"/>
    <d v="2023-02-25T00:00:00"/>
    <s v="Cameron"/>
    <x v="0"/>
    <x v="0"/>
  </r>
  <r>
    <d v="2023-01-11T00:00:00"/>
    <x v="0"/>
    <x v="4"/>
    <n v="13"/>
    <n v="515.41999999999996"/>
    <s v="Store D"/>
    <s v="Retail"/>
    <n v="0"/>
    <x v="5"/>
    <n v="6700.4599999999991"/>
    <s v="Online"/>
    <s v="FREESHIP"/>
    <n v="0"/>
    <s v="REG101229"/>
    <s v="Cust 5342"/>
    <n v="43.37"/>
    <d v="2023-01-11T00:00:00"/>
    <d v="2023-01-20T00:00:00"/>
    <s v="Eric"/>
    <x v="6"/>
    <x v="0"/>
  </r>
  <r>
    <d v="2024-04-16T00:00:00"/>
    <x v="4"/>
    <x v="5"/>
    <n v="7"/>
    <n v="129.83000000000001"/>
    <s v="Store A"/>
    <s v="Wholesale"/>
    <n v="0"/>
    <x v="3"/>
    <n v="908.81000000000006"/>
    <s v="Gift Card"/>
    <s v="WINTER15"/>
    <n v="0"/>
    <s v="REG101230"/>
    <s v="Cust 4564"/>
    <n v="13.12"/>
    <d v="2024-04-16T00:00:00"/>
    <d v="2024-04-20T00:00:00"/>
    <s v="Wendy"/>
    <x v="9"/>
    <x v="7"/>
  </r>
  <r>
    <d v="2024-03-09T00:00:00"/>
    <x v="3"/>
    <x v="4"/>
    <n v="17"/>
    <n v="376.15"/>
    <s v="Store C"/>
    <s v="Retail"/>
    <n v="0.05"/>
    <x v="4"/>
    <n v="6074.8224999999993"/>
    <s v="Gift Card"/>
    <s v="WINTER15"/>
    <n v="1"/>
    <s v="REG101231"/>
    <s v="Cust 6441"/>
    <n v="31.96"/>
    <d v="2024-03-09T00:00:00"/>
    <d v="2024-03-12T00:00:00"/>
    <s v="Cameron"/>
    <x v="25"/>
    <x v="7"/>
  </r>
  <r>
    <d v="2024-10-07T00:00:00"/>
    <x v="1"/>
    <x v="3"/>
    <n v="8"/>
    <n v="385.46"/>
    <s v="Store A"/>
    <s v="Wholesale"/>
    <n v="0"/>
    <x v="5"/>
    <n v="3083.68"/>
    <s v="Cash"/>
    <s v="SAVE10"/>
    <n v="0"/>
    <s v="REG101232"/>
    <s v="Cust 7591"/>
    <n v="8.89"/>
    <d v="2024-10-07T00:00:00"/>
    <d v="2024-10-11T00:00:00"/>
    <s v="Sophie"/>
    <x v="7"/>
    <x v="5"/>
  </r>
  <r>
    <d v="2023-10-06T00:00:00"/>
    <x v="4"/>
    <x v="6"/>
    <n v="2"/>
    <n v="474.13"/>
    <s v="Store D"/>
    <s v="Wholesale"/>
    <n v="0"/>
    <x v="3"/>
    <n v="948.26"/>
    <s v="Gift Card"/>
    <s v="FREESHIP"/>
    <n v="1"/>
    <s v="REG101233"/>
    <s v="Cust 9778"/>
    <n v="14.41"/>
    <d v="2023-10-06T00:00:00"/>
    <d v="2023-10-15T00:00:00"/>
    <s v="Wendy"/>
    <x v="19"/>
    <x v="14"/>
  </r>
  <r>
    <d v="2023-04-08T00:00:00"/>
    <x v="4"/>
    <x v="4"/>
    <n v="15"/>
    <n v="506.17"/>
    <s v="Store B"/>
    <s v="Wholesale"/>
    <n v="0.05"/>
    <x v="1"/>
    <n v="7212.9224999999997"/>
    <s v="Online"/>
    <m/>
    <n v="0"/>
    <s v="REG101234"/>
    <s v="Cust 1195"/>
    <n v="41.73"/>
    <d v="2023-04-08T00:00:00"/>
    <d v="2023-04-13T00:00:00"/>
    <s v="Wendy"/>
    <x v="21"/>
    <x v="13"/>
  </r>
  <r>
    <d v="2024-02-20T00:00:00"/>
    <x v="1"/>
    <x v="1"/>
    <n v="1"/>
    <n v="67.38"/>
    <s v="Store D"/>
    <s v="Retail"/>
    <n v="0.15"/>
    <x v="1"/>
    <n v="57.273000000000003"/>
    <s v="Credit Card"/>
    <s v="WINTER15"/>
    <n v="0"/>
    <s v="REG101235"/>
    <s v="Cust 8126"/>
    <n v="6.14"/>
    <d v="2024-02-20T00:00:00"/>
    <d v="2024-02-27T00:00:00"/>
    <s v="Sophie"/>
    <x v="5"/>
    <x v="4"/>
  </r>
  <r>
    <d v="2023-01-30T00:00:00"/>
    <x v="4"/>
    <x v="3"/>
    <n v="15"/>
    <n v="274.3"/>
    <s v="Store B"/>
    <s v="Retail"/>
    <n v="0.15"/>
    <x v="2"/>
    <n v="3497.3249999999998"/>
    <s v="Credit Card"/>
    <m/>
    <n v="0"/>
    <s v="REG101236"/>
    <s v="Cust 4609"/>
    <n v="21.56"/>
    <d v="2023-01-30T00:00:00"/>
    <d v="2023-02-08T00:00:00"/>
    <s v="Wendy"/>
    <x v="6"/>
    <x v="0"/>
  </r>
  <r>
    <d v="2023-05-12T00:00:00"/>
    <x v="1"/>
    <x v="4"/>
    <n v="2"/>
    <n v="334.48"/>
    <s v="Store B"/>
    <s v="Wholesale"/>
    <n v="0"/>
    <x v="1"/>
    <n v="668.96"/>
    <s v="Debit Card"/>
    <m/>
    <n v="0"/>
    <s v="REG101237"/>
    <s v="Cust 1449"/>
    <n v="31.53"/>
    <d v="2023-05-12T00:00:00"/>
    <d v="2023-05-20T00:00:00"/>
    <s v="Sophie"/>
    <x v="2"/>
    <x v="2"/>
  </r>
  <r>
    <d v="2024-01-08T00:00:00"/>
    <x v="1"/>
    <x v="3"/>
    <n v="7"/>
    <n v="562.6"/>
    <s v="Store A"/>
    <s v="Retail"/>
    <n v="0.15"/>
    <x v="0"/>
    <n v="3347.47"/>
    <s v="Online"/>
    <s v="WINTER15"/>
    <n v="0"/>
    <s v="REG101238"/>
    <s v="Cust 3508"/>
    <n v="19.95"/>
    <d v="2024-01-08T00:00:00"/>
    <d v="2024-01-12T00:00:00"/>
    <s v="Sophie"/>
    <x v="24"/>
    <x v="4"/>
  </r>
  <r>
    <d v="2024-06-05T00:00:00"/>
    <x v="2"/>
    <x v="4"/>
    <n v="7"/>
    <n v="14.34"/>
    <s v="Store D"/>
    <s v="Retail"/>
    <n v="0.05"/>
    <x v="1"/>
    <n v="95.36099999999999"/>
    <s v="Debit Card"/>
    <s v="WINTER15"/>
    <n v="0"/>
    <s v="REG101239"/>
    <s v="Cust 4826"/>
    <n v="19.45"/>
    <d v="2024-06-05T00:00:00"/>
    <d v="2024-06-08T00:00:00"/>
    <s v="Ryan"/>
    <x v="23"/>
    <x v="11"/>
  </r>
  <r>
    <d v="2025-05-21T00:00:00"/>
    <x v="0"/>
    <x v="1"/>
    <n v="11"/>
    <n v="34.72"/>
    <s v="Store B"/>
    <s v="Wholesale"/>
    <n v="0.1"/>
    <x v="4"/>
    <n v="343.72800000000001"/>
    <s v="Gift Card"/>
    <s v="FREESHIP"/>
    <n v="0"/>
    <s v="REG101240"/>
    <s v="Cust 1232"/>
    <n v="9.31"/>
    <d v="2025-05-21T00:00:00"/>
    <d v="2025-05-23T00:00:00"/>
    <s v="Eric"/>
    <x v="13"/>
    <x v="10"/>
  </r>
  <r>
    <d v="2025-05-21T00:00:00"/>
    <x v="0"/>
    <x v="3"/>
    <n v="7"/>
    <n v="15.06"/>
    <s v="Store A"/>
    <s v="Retail"/>
    <n v="0"/>
    <x v="1"/>
    <n v="105.42"/>
    <s v="Cash"/>
    <m/>
    <n v="1"/>
    <s v="REG101241"/>
    <s v="Cust 9675"/>
    <n v="46.57"/>
    <d v="2025-05-21T00:00:00"/>
    <d v="2025-05-26T00:00:00"/>
    <s v="Eric"/>
    <x v="13"/>
    <x v="10"/>
  </r>
  <r>
    <d v="2023-03-05T00:00:00"/>
    <x v="0"/>
    <x v="6"/>
    <n v="11"/>
    <n v="488.17"/>
    <s v="Store B"/>
    <s v="Wholesale"/>
    <n v="0.05"/>
    <x v="5"/>
    <n v="5101.3764999999994"/>
    <s v="Cash"/>
    <s v="WINTER15"/>
    <n v="1"/>
    <s v="REG101242"/>
    <s v="Cust 5153"/>
    <n v="37.47"/>
    <d v="2023-03-05T00:00:00"/>
    <d v="2023-03-11T00:00:00"/>
    <s v="Eric"/>
    <x v="17"/>
    <x v="13"/>
  </r>
  <r>
    <d v="2024-10-27T00:00:00"/>
    <x v="1"/>
    <x v="5"/>
    <n v="10"/>
    <n v="268.39"/>
    <s v="Store B"/>
    <s v="Retail"/>
    <n v="0.05"/>
    <x v="1"/>
    <n v="2549.704999999999"/>
    <s v="Credit Card"/>
    <s v="SAVE10"/>
    <n v="0"/>
    <s v="REG101243"/>
    <s v="Cust 6330"/>
    <n v="25.86"/>
    <d v="2024-10-27T00:00:00"/>
    <d v="2024-11-02T00:00:00"/>
    <s v="Sophie"/>
    <x v="7"/>
    <x v="5"/>
  </r>
  <r>
    <d v="2025-03-24T00:00:00"/>
    <x v="2"/>
    <x v="5"/>
    <n v="5"/>
    <n v="64.180000000000007"/>
    <s v="Store C"/>
    <s v="Retail"/>
    <n v="0.1"/>
    <x v="0"/>
    <n v="288.81000000000012"/>
    <s v="Gift Card"/>
    <s v="SAVE10"/>
    <n v="0"/>
    <s v="REG101244"/>
    <s v="Cust 8277"/>
    <n v="21.17"/>
    <d v="2025-03-24T00:00:00"/>
    <d v="2025-03-29T00:00:00"/>
    <s v="Ryan"/>
    <x v="8"/>
    <x v="6"/>
  </r>
  <r>
    <d v="2024-09-21T00:00:00"/>
    <x v="4"/>
    <x v="1"/>
    <n v="15"/>
    <n v="466.55"/>
    <s v="Store A"/>
    <s v="Retail"/>
    <n v="0.05"/>
    <x v="1"/>
    <n v="6648.3374999999996"/>
    <s v="Cash"/>
    <s v="SAVE10"/>
    <n v="1"/>
    <s v="REG101245"/>
    <s v="Cust 5884"/>
    <n v="36.68"/>
    <d v="2024-09-21T00:00:00"/>
    <d v="2024-09-27T00:00:00"/>
    <s v="Wendy"/>
    <x v="26"/>
    <x v="5"/>
  </r>
  <r>
    <d v="2025-05-18T00:00:00"/>
    <x v="2"/>
    <x v="2"/>
    <n v="8"/>
    <n v="505.34"/>
    <s v="Store B"/>
    <s v="Retail"/>
    <n v="0.05"/>
    <x v="5"/>
    <n v="3840.5839999999998"/>
    <s v="Debit Card"/>
    <m/>
    <n v="0"/>
    <s v="REG101246"/>
    <s v="Cust 4061"/>
    <n v="22.88"/>
    <d v="2025-05-18T00:00:00"/>
    <d v="2025-05-27T00:00:00"/>
    <s v="Ryan"/>
    <x v="13"/>
    <x v="10"/>
  </r>
  <r>
    <d v="2024-07-11T00:00:00"/>
    <x v="0"/>
    <x v="4"/>
    <n v="6"/>
    <n v="100.75"/>
    <s v="Store A"/>
    <s v="Wholesale"/>
    <n v="0.1"/>
    <x v="2"/>
    <n v="544.05000000000007"/>
    <s v="Credit Card"/>
    <s v="FREESHIP"/>
    <n v="0"/>
    <s v="REG101247"/>
    <s v="Cust 8095"/>
    <n v="12.98"/>
    <d v="2024-07-11T00:00:00"/>
    <d v="2024-07-14T00:00:00"/>
    <s v="Eric"/>
    <x v="10"/>
    <x v="8"/>
  </r>
  <r>
    <d v="2025-01-27T00:00:00"/>
    <x v="2"/>
    <x v="5"/>
    <n v="8"/>
    <n v="352.72"/>
    <s v="Store C"/>
    <s v="Retail"/>
    <n v="0.05"/>
    <x v="3"/>
    <n v="2680.672"/>
    <s v="Cash"/>
    <m/>
    <n v="0"/>
    <s v="REG101248"/>
    <s v="Cust 2435"/>
    <n v="30.8"/>
    <d v="2025-01-27T00:00:00"/>
    <d v="2025-02-04T00:00:00"/>
    <s v="Ryan"/>
    <x v="12"/>
    <x v="3"/>
  </r>
  <r>
    <d v="2023-11-26T00:00:00"/>
    <x v="0"/>
    <x v="0"/>
    <n v="9"/>
    <n v="526.26"/>
    <s v="Store B"/>
    <s v="Retail"/>
    <n v="0"/>
    <x v="5"/>
    <n v="4736.34"/>
    <s v="Cash"/>
    <s v="FREESHIP"/>
    <n v="0"/>
    <s v="REG101249"/>
    <s v="Cust 6785"/>
    <n v="15.47"/>
    <d v="2023-11-26T00:00:00"/>
    <d v="2023-12-06T00:00:00"/>
    <s v="Eric"/>
    <x v="15"/>
    <x v="12"/>
  </r>
  <r>
    <d v="2024-06-02T00:00:00"/>
    <x v="3"/>
    <x v="6"/>
    <n v="18"/>
    <n v="519.41999999999996"/>
    <s v="Store C"/>
    <s v="Retail"/>
    <n v="0.15"/>
    <x v="0"/>
    <n v="7947.1259999999993"/>
    <s v="Cash"/>
    <s v="WINTER15"/>
    <n v="0"/>
    <s v="REG101250"/>
    <s v="Cust 6485"/>
    <n v="32.96"/>
    <d v="2024-06-02T00:00:00"/>
    <d v="2024-06-04T00:00:00"/>
    <s v="Cameron"/>
    <x v="23"/>
    <x v="11"/>
  </r>
  <r>
    <d v="2023-01-17T00:00:00"/>
    <x v="2"/>
    <x v="3"/>
    <n v="18"/>
    <n v="108.46"/>
    <s v="Store D"/>
    <s v="Wholesale"/>
    <n v="0.05"/>
    <x v="2"/>
    <n v="1854.6659999999999"/>
    <s v="Online"/>
    <s v="SAVE10"/>
    <n v="0"/>
    <s v="REG101251"/>
    <s v="Cust 6960"/>
    <n v="10.72"/>
    <d v="2023-01-17T00:00:00"/>
    <d v="2023-01-24T00:00:00"/>
    <s v="Ryan"/>
    <x v="6"/>
    <x v="0"/>
  </r>
  <r>
    <d v="2025-05-03T00:00:00"/>
    <x v="2"/>
    <x v="2"/>
    <n v="13"/>
    <n v="420.68"/>
    <s v="Store D"/>
    <s v="Wholesale"/>
    <n v="0.05"/>
    <x v="2"/>
    <n v="5195.3980000000001"/>
    <s v="Online"/>
    <m/>
    <n v="0"/>
    <s v="REG101252"/>
    <s v="Cust 1135"/>
    <n v="24.51"/>
    <d v="2025-05-03T00:00:00"/>
    <d v="2025-05-11T00:00:00"/>
    <s v="Ryan"/>
    <x v="13"/>
    <x v="10"/>
  </r>
  <r>
    <d v="2025-01-05T00:00:00"/>
    <x v="2"/>
    <x v="6"/>
    <n v="17"/>
    <n v="5.91"/>
    <s v="Store A"/>
    <s v="Wholesale"/>
    <n v="0.15"/>
    <x v="0"/>
    <n v="85.399500000000003"/>
    <s v="Online"/>
    <s v="SAVE10"/>
    <n v="0"/>
    <s v="REG101253"/>
    <s v="Cust 6186"/>
    <n v="44.85"/>
    <d v="2025-01-05T00:00:00"/>
    <d v="2025-01-13T00:00:00"/>
    <s v="Ryan"/>
    <x v="12"/>
    <x v="3"/>
  </r>
  <r>
    <d v="2024-02-20T00:00:00"/>
    <x v="0"/>
    <x v="1"/>
    <n v="4"/>
    <n v="452.77"/>
    <s v="Store B"/>
    <s v="Retail"/>
    <n v="0"/>
    <x v="4"/>
    <n v="1811.08"/>
    <s v="Debit Card"/>
    <s v="SAVE10"/>
    <n v="0"/>
    <s v="REG101254"/>
    <s v="Cust 8828"/>
    <n v="32.01"/>
    <d v="2024-02-20T00:00:00"/>
    <d v="2024-03-01T00:00:00"/>
    <s v="Eric"/>
    <x v="5"/>
    <x v="4"/>
  </r>
  <r>
    <d v="2023-12-26T00:00:00"/>
    <x v="2"/>
    <x v="4"/>
    <n v="7"/>
    <n v="157"/>
    <s v="Store A"/>
    <s v="Wholesale"/>
    <n v="0.15"/>
    <x v="1"/>
    <n v="934.15"/>
    <s v="Online"/>
    <s v="SAVE10"/>
    <n v="1"/>
    <s v="REG101255"/>
    <s v="Cust 9097"/>
    <n v="39.72"/>
    <d v="2023-12-26T00:00:00"/>
    <d v="2024-01-04T00:00:00"/>
    <s v="Ryan"/>
    <x v="27"/>
    <x v="12"/>
  </r>
  <r>
    <d v="2023-03-07T00:00:00"/>
    <x v="2"/>
    <x v="6"/>
    <n v="11"/>
    <n v="550.86"/>
    <s v="Store C"/>
    <s v="Retail"/>
    <n v="0.1"/>
    <x v="5"/>
    <n v="5453.5140000000001"/>
    <s v="Online"/>
    <s v="FREESHIP"/>
    <n v="0"/>
    <s v="REG101256"/>
    <s v="Cust 4744"/>
    <n v="21.82"/>
    <d v="2023-03-07T00:00:00"/>
    <d v="2023-03-12T00:00:00"/>
    <s v="Ryan"/>
    <x v="17"/>
    <x v="13"/>
  </r>
  <r>
    <d v="2024-09-13T00:00:00"/>
    <x v="2"/>
    <x v="3"/>
    <n v="5"/>
    <n v="172.65"/>
    <s v="Store C"/>
    <s v="Wholesale"/>
    <n v="0.15"/>
    <x v="1"/>
    <n v="733.76249999999993"/>
    <s v="Cash"/>
    <s v="SAVE10"/>
    <n v="0"/>
    <s v="REG101257"/>
    <s v="Cust 4287"/>
    <n v="28.3"/>
    <d v="2024-09-13T00:00:00"/>
    <d v="2024-09-22T00:00:00"/>
    <s v="Ryan"/>
    <x v="26"/>
    <x v="5"/>
  </r>
  <r>
    <d v="2024-01-02T00:00:00"/>
    <x v="0"/>
    <x v="5"/>
    <n v="16"/>
    <n v="145.30000000000001"/>
    <s v="Store B"/>
    <s v="Wholesale"/>
    <n v="0"/>
    <x v="0"/>
    <n v="2324.8000000000002"/>
    <s v="Credit Card"/>
    <s v="FREESHIP"/>
    <n v="1"/>
    <s v="REG101258"/>
    <s v="Cust 2236"/>
    <n v="29.64"/>
    <d v="2024-01-02T00:00:00"/>
    <d v="2024-01-12T00:00:00"/>
    <s v="Eric"/>
    <x v="24"/>
    <x v="15"/>
  </r>
  <r>
    <d v="2025-02-08T00:00:00"/>
    <x v="1"/>
    <x v="6"/>
    <n v="10"/>
    <n v="67.38"/>
    <s v="Store C"/>
    <s v="Retail"/>
    <n v="0.1"/>
    <x v="4"/>
    <n v="606.41999999999996"/>
    <s v="Gift Card"/>
    <s v="FREESHIP"/>
    <n v="1"/>
    <s v="REG101259"/>
    <s v="Cust 5312"/>
    <n v="20.58"/>
    <d v="2025-02-08T00:00:00"/>
    <d v="2025-02-18T00:00:00"/>
    <s v="Sophie"/>
    <x v="3"/>
    <x v="3"/>
  </r>
  <r>
    <d v="2025-03-04T00:00:00"/>
    <x v="1"/>
    <x v="6"/>
    <n v="15"/>
    <n v="141.13"/>
    <s v="Store D"/>
    <s v="Wholesale"/>
    <n v="0"/>
    <x v="3"/>
    <n v="2116.9499999999998"/>
    <s v="Cash"/>
    <s v="SAVE10"/>
    <n v="0"/>
    <s v="REG101260"/>
    <s v="Cust 5096"/>
    <n v="19.63"/>
    <d v="2025-03-04T00:00:00"/>
    <d v="2025-03-12T00:00:00"/>
    <s v="Sophie"/>
    <x v="8"/>
    <x v="6"/>
  </r>
  <r>
    <d v="2024-03-12T00:00:00"/>
    <x v="3"/>
    <x v="5"/>
    <n v="1"/>
    <n v="534.61"/>
    <s v="Store D"/>
    <s v="Retail"/>
    <n v="0.05"/>
    <x v="2"/>
    <n v="507.87950000000001"/>
    <s v="Online"/>
    <s v="SAVE10"/>
    <n v="0"/>
    <s v="REG101261"/>
    <s v="Cust 1162"/>
    <n v="22.68"/>
    <d v="2024-03-12T00:00:00"/>
    <d v="2024-03-21T00:00:00"/>
    <s v="Cameron"/>
    <x v="25"/>
    <x v="7"/>
  </r>
  <r>
    <d v="2024-07-03T00:00:00"/>
    <x v="0"/>
    <x v="1"/>
    <n v="9"/>
    <n v="560.04"/>
    <s v="Store D"/>
    <s v="Retail"/>
    <n v="0.05"/>
    <x v="3"/>
    <n v="4788.3419999999996"/>
    <s v="Gift Card"/>
    <s v="WINTER15"/>
    <n v="0"/>
    <s v="REG101262"/>
    <s v="Cust 1669"/>
    <n v="22.81"/>
    <d v="2024-07-03T00:00:00"/>
    <d v="2024-07-07T00:00:00"/>
    <s v="Eric"/>
    <x v="10"/>
    <x v="8"/>
  </r>
  <r>
    <d v="2025-01-05T00:00:00"/>
    <x v="2"/>
    <x v="0"/>
    <n v="8"/>
    <n v="275.32"/>
    <s v="Store D"/>
    <s v="Retail"/>
    <n v="0.1"/>
    <x v="4"/>
    <n v="1982.3040000000001"/>
    <s v="Cash"/>
    <s v="SAVE10"/>
    <n v="0"/>
    <s v="REG101263"/>
    <s v="Cust 6213"/>
    <n v="18.260000000000002"/>
    <d v="2025-01-05T00:00:00"/>
    <d v="2025-01-13T00:00:00"/>
    <s v="Ryan"/>
    <x v="12"/>
    <x v="3"/>
  </r>
  <r>
    <d v="2024-03-21T00:00:00"/>
    <x v="0"/>
    <x v="1"/>
    <n v="3"/>
    <n v="105.73"/>
    <s v="Store D"/>
    <s v="Retail"/>
    <n v="0.05"/>
    <x v="5"/>
    <n v="301.33049999999997"/>
    <s v="Debit Card"/>
    <s v="FREESHIP"/>
    <n v="1"/>
    <s v="REG101264"/>
    <s v="Cust 7659"/>
    <n v="12.12"/>
    <d v="2024-03-21T00:00:00"/>
    <d v="2024-03-28T00:00:00"/>
    <s v="Eric"/>
    <x v="25"/>
    <x v="7"/>
  </r>
  <r>
    <d v="2025-03-28T00:00:00"/>
    <x v="3"/>
    <x v="4"/>
    <n v="15"/>
    <n v="568.80999999999995"/>
    <s v="Store D"/>
    <s v="Retail"/>
    <n v="0.1"/>
    <x v="2"/>
    <n v="7678.9349999999986"/>
    <s v="Gift Card"/>
    <m/>
    <n v="0"/>
    <s v="REG101265"/>
    <s v="Cust 2894"/>
    <n v="8.5399999999999991"/>
    <d v="2025-03-28T00:00:00"/>
    <d v="2025-04-03T00:00:00"/>
    <s v="Cameron"/>
    <x v="8"/>
    <x v="6"/>
  </r>
  <r>
    <d v="2025-04-13T00:00:00"/>
    <x v="3"/>
    <x v="0"/>
    <n v="20"/>
    <n v="190.39"/>
    <s v="Store B"/>
    <s v="Retail"/>
    <n v="0.1"/>
    <x v="5"/>
    <n v="3427.02"/>
    <s v="Gift Card"/>
    <s v="SAVE10"/>
    <n v="0"/>
    <s v="REG101266"/>
    <s v="Cust 1457"/>
    <n v="49.93"/>
    <d v="2025-04-13T00:00:00"/>
    <d v="2025-04-18T00:00:00"/>
    <s v="Cameron"/>
    <x v="28"/>
    <x v="6"/>
  </r>
  <r>
    <d v="2024-04-30T00:00:00"/>
    <x v="4"/>
    <x v="3"/>
    <n v="19"/>
    <n v="433.39"/>
    <s v="Store C"/>
    <s v="Retail"/>
    <n v="0.05"/>
    <x v="5"/>
    <n v="7822.6894999999986"/>
    <s v="Online"/>
    <s v="WINTER15"/>
    <n v="0"/>
    <s v="REG101267"/>
    <s v="Cust 2410"/>
    <n v="7.59"/>
    <d v="2024-04-30T00:00:00"/>
    <d v="2024-05-09T00:00:00"/>
    <s v="Wendy"/>
    <x v="9"/>
    <x v="11"/>
  </r>
  <r>
    <d v="2025-02-15T00:00:00"/>
    <x v="1"/>
    <x v="1"/>
    <n v="1"/>
    <n v="92.72"/>
    <s v="Store C"/>
    <s v="Wholesale"/>
    <n v="0.15"/>
    <x v="0"/>
    <n v="78.811999999999998"/>
    <s v="Debit Card"/>
    <s v="WINTER15"/>
    <n v="0"/>
    <s v="REG101268"/>
    <s v="Cust 4723"/>
    <n v="48.46"/>
    <d v="2025-02-15T00:00:00"/>
    <d v="2025-02-19T00:00:00"/>
    <s v="Sophie"/>
    <x v="3"/>
    <x v="3"/>
  </r>
  <r>
    <d v="2025-02-18T00:00:00"/>
    <x v="4"/>
    <x v="0"/>
    <n v="1"/>
    <n v="263.27999999999997"/>
    <s v="Store D"/>
    <s v="Wholesale"/>
    <n v="0.1"/>
    <x v="0"/>
    <n v="236.952"/>
    <s v="Credit Card"/>
    <s v="SAVE10"/>
    <n v="0"/>
    <s v="REG101269"/>
    <s v="Cust 1586"/>
    <n v="36.28"/>
    <d v="2025-02-18T00:00:00"/>
    <d v="2025-02-23T00:00:00"/>
    <s v="Wendy"/>
    <x v="3"/>
    <x v="3"/>
  </r>
  <r>
    <d v="2023-09-08T00:00:00"/>
    <x v="4"/>
    <x v="1"/>
    <n v="11"/>
    <n v="358.59"/>
    <s v="Store B"/>
    <s v="Wholesale"/>
    <n v="0"/>
    <x v="2"/>
    <n v="3944.49"/>
    <s v="Credit Card"/>
    <m/>
    <n v="0"/>
    <s v="REG101270"/>
    <s v="Cust 5049"/>
    <n v="29.19"/>
    <d v="2023-09-08T00:00:00"/>
    <d v="2023-09-10T00:00:00"/>
    <s v="Wendy"/>
    <x v="22"/>
    <x v="14"/>
  </r>
  <r>
    <d v="2024-02-04T00:00:00"/>
    <x v="3"/>
    <x v="5"/>
    <n v="18"/>
    <n v="595.53"/>
    <s v="Store B"/>
    <s v="Retail"/>
    <n v="0"/>
    <x v="2"/>
    <n v="10719.54"/>
    <s v="Cash"/>
    <s v="WINTER15"/>
    <n v="0"/>
    <s v="REG101271"/>
    <s v="Cust 9534"/>
    <n v="42.91"/>
    <d v="2024-02-04T00:00:00"/>
    <d v="2024-02-06T00:00:00"/>
    <s v="Cameron"/>
    <x v="5"/>
    <x v="4"/>
  </r>
  <r>
    <d v="2024-11-25T00:00:00"/>
    <x v="2"/>
    <x v="4"/>
    <n v="14"/>
    <n v="574.32000000000005"/>
    <s v="Store D"/>
    <s v="Wholesale"/>
    <n v="0.15"/>
    <x v="4"/>
    <n v="6834.4080000000004"/>
    <s v="Credit Card"/>
    <s v="SAVE10"/>
    <n v="0"/>
    <s v="REG101272"/>
    <s v="Cust 5693"/>
    <n v="12.07"/>
    <d v="2024-11-25T00:00:00"/>
    <d v="2024-12-05T00:00:00"/>
    <s v="Ryan"/>
    <x v="20"/>
    <x v="1"/>
  </r>
  <r>
    <d v="2024-12-30T00:00:00"/>
    <x v="2"/>
    <x v="0"/>
    <n v="18"/>
    <n v="444.13"/>
    <s v="Store D"/>
    <s v="Retail"/>
    <n v="0"/>
    <x v="2"/>
    <n v="7994.34"/>
    <s v="Cash"/>
    <s v="SAVE10"/>
    <n v="0"/>
    <s v="REG101273"/>
    <s v="Cust 6950"/>
    <n v="5.41"/>
    <d v="2024-12-30T00:00:00"/>
    <d v="2025-01-02T00:00:00"/>
    <s v="Ryan"/>
    <x v="1"/>
    <x v="16"/>
  </r>
  <r>
    <d v="2023-09-05T00:00:00"/>
    <x v="4"/>
    <x v="5"/>
    <n v="19"/>
    <n v="431.47"/>
    <s v="Store A"/>
    <s v="Retail"/>
    <n v="0.1"/>
    <x v="0"/>
    <n v="7378.1370000000006"/>
    <s v="Gift Card"/>
    <s v="WINTER15"/>
    <n v="0"/>
    <s v="REG101274"/>
    <s v="Cust 7098"/>
    <n v="49.23"/>
    <d v="2023-09-05T00:00:00"/>
    <d v="2023-09-10T00:00:00"/>
    <s v="Wendy"/>
    <x v="22"/>
    <x v="14"/>
  </r>
  <r>
    <d v="2023-08-01T00:00:00"/>
    <x v="4"/>
    <x v="6"/>
    <n v="19"/>
    <n v="67.489999999999995"/>
    <s v="Store C"/>
    <s v="Retail"/>
    <n v="0"/>
    <x v="2"/>
    <n v="1282.31"/>
    <s v="Debit Card"/>
    <s v="SAVE10"/>
    <n v="0"/>
    <s v="REG101275"/>
    <s v="Cust 8300"/>
    <n v="32.04"/>
    <d v="2023-08-01T00:00:00"/>
    <d v="2023-08-11T00:00:00"/>
    <s v="Wendy"/>
    <x v="18"/>
    <x v="9"/>
  </r>
  <r>
    <d v="2023-01-06T00:00:00"/>
    <x v="3"/>
    <x v="5"/>
    <n v="11"/>
    <n v="25.67"/>
    <s v="Store C"/>
    <s v="Retail"/>
    <n v="0.15"/>
    <x v="3"/>
    <n v="240.0145"/>
    <s v="Credit Card"/>
    <s v="SAVE10"/>
    <n v="0"/>
    <s v="REG101276"/>
    <s v="Cust 9557"/>
    <n v="30.12"/>
    <d v="2023-01-06T00:00:00"/>
    <d v="2023-01-08T00:00:00"/>
    <s v="Cameron"/>
    <x v="6"/>
    <x v="0"/>
  </r>
  <r>
    <d v="2025-05-02T00:00:00"/>
    <x v="3"/>
    <x v="1"/>
    <n v="4"/>
    <n v="368.69"/>
    <s v="Store D"/>
    <s v="Wholesale"/>
    <n v="0"/>
    <x v="4"/>
    <n v="1474.76"/>
    <s v="Gift Card"/>
    <s v="WINTER15"/>
    <n v="0"/>
    <s v="REG101277"/>
    <s v="Cust 8787"/>
    <n v="48.57"/>
    <d v="2025-05-02T00:00:00"/>
    <d v="2025-05-06T00:00:00"/>
    <s v="Cameron"/>
    <x v="13"/>
    <x v="6"/>
  </r>
  <r>
    <d v="2023-12-21T00:00:00"/>
    <x v="4"/>
    <x v="4"/>
    <n v="7"/>
    <n v="257.01"/>
    <s v="Store D"/>
    <s v="Retail"/>
    <n v="0.05"/>
    <x v="0"/>
    <n v="1709.1165000000001"/>
    <s v="Credit Card"/>
    <m/>
    <n v="0"/>
    <s v="REG101278"/>
    <s v="Cust 9717"/>
    <n v="35.520000000000003"/>
    <d v="2023-12-21T00:00:00"/>
    <d v="2023-12-28T00:00:00"/>
    <s v="Wendy"/>
    <x v="27"/>
    <x v="12"/>
  </r>
  <r>
    <d v="2024-09-10T00:00:00"/>
    <x v="0"/>
    <x v="0"/>
    <n v="14"/>
    <n v="85.54"/>
    <s v="Store B"/>
    <s v="Wholesale"/>
    <n v="0"/>
    <x v="2"/>
    <n v="1197.56"/>
    <s v="Gift Card"/>
    <s v="FREESHIP"/>
    <n v="0"/>
    <s v="REG101279"/>
    <s v="Cust 2719"/>
    <n v="16.079999999999998"/>
    <d v="2024-09-10T00:00:00"/>
    <d v="2024-09-14T00:00:00"/>
    <s v="Eric"/>
    <x v="26"/>
    <x v="5"/>
  </r>
  <r>
    <d v="2024-04-05T00:00:00"/>
    <x v="3"/>
    <x v="3"/>
    <n v="9"/>
    <n v="267.60000000000002"/>
    <s v="Store D"/>
    <s v="Retail"/>
    <n v="0.15"/>
    <x v="0"/>
    <n v="2047.14"/>
    <s v="Credit Card"/>
    <s v="FREESHIP"/>
    <n v="0"/>
    <s v="REG101280"/>
    <s v="Cust 6203"/>
    <n v="8.48"/>
    <d v="2024-04-05T00:00:00"/>
    <d v="2024-04-10T00:00:00"/>
    <s v="Cameron"/>
    <x v="9"/>
    <x v="7"/>
  </r>
  <r>
    <d v="2023-07-26T00:00:00"/>
    <x v="0"/>
    <x v="2"/>
    <n v="15"/>
    <n v="261.85000000000002"/>
    <s v="Store D"/>
    <s v="Wholesale"/>
    <n v="0.15"/>
    <x v="4"/>
    <n v="3338.5875000000001"/>
    <s v="Online"/>
    <s v="SAVE10"/>
    <n v="0"/>
    <s v="REG101281"/>
    <s v="Cust 9151"/>
    <n v="40.68"/>
    <d v="2023-07-26T00:00:00"/>
    <d v="2023-07-31T00:00:00"/>
    <s v="Eric"/>
    <x v="11"/>
    <x v="9"/>
  </r>
  <r>
    <d v="2023-11-12T00:00:00"/>
    <x v="0"/>
    <x v="6"/>
    <n v="11"/>
    <n v="199.57"/>
    <s v="Store A"/>
    <s v="Retail"/>
    <n v="0.05"/>
    <x v="5"/>
    <n v="2085.5065"/>
    <s v="Debit Card"/>
    <s v="SAVE10"/>
    <n v="0"/>
    <s v="REG101282"/>
    <s v="Cust 5096"/>
    <n v="48.94"/>
    <d v="2023-11-12T00:00:00"/>
    <d v="2023-11-14T00:00:00"/>
    <s v="Eric"/>
    <x v="15"/>
    <x v="12"/>
  </r>
  <r>
    <d v="2025-04-18T00:00:00"/>
    <x v="3"/>
    <x v="1"/>
    <n v="5"/>
    <n v="504.96"/>
    <s v="Store C"/>
    <s v="Retail"/>
    <n v="0.05"/>
    <x v="4"/>
    <n v="2398.559999999999"/>
    <s v="Gift Card"/>
    <s v="FREESHIP"/>
    <n v="0"/>
    <s v="REG101283"/>
    <s v="Cust 4250"/>
    <n v="22.12"/>
    <d v="2025-04-18T00:00:00"/>
    <d v="2025-04-20T00:00:00"/>
    <s v="Cameron"/>
    <x v="28"/>
    <x v="6"/>
  </r>
  <r>
    <d v="2023-08-12T00:00:00"/>
    <x v="1"/>
    <x v="3"/>
    <n v="8"/>
    <n v="28.34"/>
    <s v="Store C"/>
    <s v="Wholesale"/>
    <n v="0.05"/>
    <x v="1"/>
    <n v="215.38399999999999"/>
    <s v="Cash"/>
    <m/>
    <n v="1"/>
    <s v="REG101284"/>
    <s v="Cust 1276"/>
    <n v="23.19"/>
    <d v="2023-08-12T00:00:00"/>
    <d v="2023-08-19T00:00:00"/>
    <s v="Sophie"/>
    <x v="18"/>
    <x v="9"/>
  </r>
  <r>
    <d v="2024-12-12T00:00:00"/>
    <x v="4"/>
    <x v="6"/>
    <n v="17"/>
    <n v="495.13"/>
    <s v="Store D"/>
    <s v="Wholesale"/>
    <n v="0.1"/>
    <x v="1"/>
    <n v="7575.4889999999996"/>
    <s v="Online"/>
    <s v="FREESHIP"/>
    <n v="1"/>
    <s v="REG101285"/>
    <s v="Cust 6063"/>
    <n v="26.37"/>
    <d v="2024-12-12T00:00:00"/>
    <d v="2024-12-21T00:00:00"/>
    <s v="Wendy"/>
    <x v="1"/>
    <x v="1"/>
  </r>
  <r>
    <d v="2025-05-07T00:00:00"/>
    <x v="4"/>
    <x v="1"/>
    <n v="14"/>
    <n v="142.05000000000001"/>
    <s v="Store D"/>
    <s v="Retail"/>
    <n v="0.05"/>
    <x v="2"/>
    <n v="1889.2650000000001"/>
    <s v="Gift Card"/>
    <s v="SAVE10"/>
    <n v="0"/>
    <s v="REG101286"/>
    <s v="Cust 7604"/>
    <n v="33.65"/>
    <d v="2025-05-07T00:00:00"/>
    <d v="2025-05-13T00:00:00"/>
    <s v="Wendy"/>
    <x v="13"/>
    <x v="10"/>
  </r>
  <r>
    <d v="2025-03-10T00:00:00"/>
    <x v="0"/>
    <x v="3"/>
    <n v="16"/>
    <n v="504.36"/>
    <s v="Store D"/>
    <s v="Wholesale"/>
    <n v="0"/>
    <x v="5"/>
    <n v="8069.76"/>
    <s v="Debit Card"/>
    <m/>
    <n v="1"/>
    <s v="REG101287"/>
    <s v="Cust 9402"/>
    <n v="11.67"/>
    <d v="2025-03-10T00:00:00"/>
    <d v="2025-03-13T00:00:00"/>
    <s v="Eric"/>
    <x v="8"/>
    <x v="6"/>
  </r>
  <r>
    <d v="2025-06-01T00:00:00"/>
    <x v="0"/>
    <x v="2"/>
    <n v="7"/>
    <n v="122.2"/>
    <s v="Store B"/>
    <s v="Retail"/>
    <n v="0"/>
    <x v="3"/>
    <n v="855.4"/>
    <s v="Credit Card"/>
    <m/>
    <n v="0"/>
    <s v="REG101288"/>
    <s v="Cust 4398"/>
    <n v="30.21"/>
    <d v="2025-06-01T00:00:00"/>
    <d v="2025-06-10T00:00:00"/>
    <s v="Eric"/>
    <x v="16"/>
    <x v="10"/>
  </r>
  <r>
    <d v="2025-05-19T00:00:00"/>
    <x v="4"/>
    <x v="3"/>
    <n v="7"/>
    <n v="338.42"/>
    <s v="Store B"/>
    <s v="Retail"/>
    <n v="0.15"/>
    <x v="1"/>
    <n v="2013.5989999999999"/>
    <s v="Online"/>
    <s v="FREESHIP"/>
    <n v="0"/>
    <s v="REG101289"/>
    <s v="Cust 8770"/>
    <n v="5.82"/>
    <d v="2025-05-19T00:00:00"/>
    <d v="2025-05-21T00:00:00"/>
    <s v="Wendy"/>
    <x v="13"/>
    <x v="10"/>
  </r>
  <r>
    <d v="2023-02-08T00:00:00"/>
    <x v="0"/>
    <x v="5"/>
    <n v="4"/>
    <n v="224.75"/>
    <s v="Store D"/>
    <s v="Wholesale"/>
    <n v="0"/>
    <x v="2"/>
    <n v="899"/>
    <s v="Debit Card"/>
    <m/>
    <n v="0"/>
    <s v="REG101290"/>
    <s v="Cust 2148"/>
    <n v="43.86"/>
    <d v="2023-02-08T00:00:00"/>
    <d v="2023-02-16T00:00:00"/>
    <s v="Eric"/>
    <x v="0"/>
    <x v="0"/>
  </r>
  <r>
    <d v="2025-04-24T00:00:00"/>
    <x v="3"/>
    <x v="2"/>
    <n v="16"/>
    <n v="509.71"/>
    <s v="Store C"/>
    <s v="Wholesale"/>
    <n v="0.1"/>
    <x v="3"/>
    <n v="7339.8239999999996"/>
    <s v="Cash"/>
    <m/>
    <n v="0"/>
    <s v="REG101291"/>
    <s v="Cust 4107"/>
    <n v="41.78"/>
    <d v="2025-04-24T00:00:00"/>
    <d v="2025-05-03T00:00:00"/>
    <s v="Cameron"/>
    <x v="28"/>
    <x v="6"/>
  </r>
  <r>
    <d v="2024-09-01T00:00:00"/>
    <x v="2"/>
    <x v="5"/>
    <n v="14"/>
    <n v="297.56"/>
    <s v="Store B"/>
    <s v="Wholesale"/>
    <n v="0.1"/>
    <x v="4"/>
    <n v="3749.2559999999999"/>
    <s v="Debit Card"/>
    <s v="FREESHIP"/>
    <n v="0"/>
    <s v="REG101292"/>
    <s v="Cust 4450"/>
    <n v="31.44"/>
    <d v="2024-09-01T00:00:00"/>
    <d v="2024-09-08T00:00:00"/>
    <s v="Ryan"/>
    <x v="26"/>
    <x v="5"/>
  </r>
  <r>
    <d v="2024-11-07T00:00:00"/>
    <x v="3"/>
    <x v="6"/>
    <n v="13"/>
    <n v="365.11"/>
    <s v="Store C"/>
    <s v="Retail"/>
    <n v="0.05"/>
    <x v="4"/>
    <n v="4509.1085000000003"/>
    <s v="Online"/>
    <m/>
    <n v="0"/>
    <s v="REG101293"/>
    <s v="Cust 8233"/>
    <n v="13.97"/>
    <d v="2024-11-07T00:00:00"/>
    <d v="2024-11-13T00:00:00"/>
    <s v="Cameron"/>
    <x v="20"/>
    <x v="1"/>
  </r>
  <r>
    <d v="2024-11-29T00:00:00"/>
    <x v="0"/>
    <x v="3"/>
    <n v="1"/>
    <n v="139.13"/>
    <s v="Store C"/>
    <s v="Wholesale"/>
    <n v="0"/>
    <x v="3"/>
    <n v="139.13"/>
    <s v="Cash"/>
    <m/>
    <n v="1"/>
    <s v="REG101294"/>
    <s v="Cust 9012"/>
    <n v="35.92"/>
    <d v="2024-11-29T00:00:00"/>
    <d v="2024-12-02T00:00:00"/>
    <s v="Eric"/>
    <x v="20"/>
    <x v="1"/>
  </r>
  <r>
    <d v="2023-04-10T00:00:00"/>
    <x v="4"/>
    <x v="3"/>
    <n v="6"/>
    <n v="543.89"/>
    <s v="Store C"/>
    <s v="Retail"/>
    <n v="0"/>
    <x v="5"/>
    <n v="3263.34"/>
    <s v="Cash"/>
    <m/>
    <n v="1"/>
    <s v="REG101295"/>
    <s v="Cust 1496"/>
    <n v="13.19"/>
    <d v="2023-04-10T00:00:00"/>
    <d v="2023-04-20T00:00:00"/>
    <s v="Wendy"/>
    <x v="21"/>
    <x v="13"/>
  </r>
  <r>
    <d v="2024-01-10T00:00:00"/>
    <x v="2"/>
    <x v="6"/>
    <n v="19"/>
    <n v="219.7"/>
    <s v="Store A"/>
    <s v="Retail"/>
    <n v="0"/>
    <x v="1"/>
    <n v="4174.3"/>
    <s v="Cash"/>
    <s v="FREESHIP"/>
    <n v="0"/>
    <s v="REG101296"/>
    <s v="Cust 9365"/>
    <n v="15.38"/>
    <d v="2024-01-10T00:00:00"/>
    <d v="2024-01-16T00:00:00"/>
    <s v="Ryan"/>
    <x v="24"/>
    <x v="4"/>
  </r>
  <r>
    <d v="2025-05-17T00:00:00"/>
    <x v="1"/>
    <x v="1"/>
    <n v="6"/>
    <n v="94.34"/>
    <s v="Store C"/>
    <s v="Retail"/>
    <n v="0.05"/>
    <x v="1"/>
    <n v="537.73799999999994"/>
    <s v="Cash"/>
    <s v="WINTER15"/>
    <n v="1"/>
    <s v="REG101297"/>
    <s v="Cust 1392"/>
    <n v="49.26"/>
    <d v="2025-05-17T00:00:00"/>
    <d v="2025-05-23T00:00:00"/>
    <s v="Sophie"/>
    <x v="13"/>
    <x v="10"/>
  </r>
  <r>
    <d v="2024-07-26T00:00:00"/>
    <x v="3"/>
    <x v="0"/>
    <n v="9"/>
    <n v="486.58"/>
    <s v="Store A"/>
    <s v="Retail"/>
    <n v="0.15"/>
    <x v="1"/>
    <n v="3722.337"/>
    <s v="Online"/>
    <s v="FREESHIP"/>
    <n v="0"/>
    <s v="REG101298"/>
    <s v="Cust 3474"/>
    <n v="38.72"/>
    <d v="2024-07-26T00:00:00"/>
    <d v="2024-07-30T00:00:00"/>
    <s v="Cameron"/>
    <x v="10"/>
    <x v="8"/>
  </r>
  <r>
    <d v="2024-12-26T00:00:00"/>
    <x v="1"/>
    <x v="2"/>
    <n v="12"/>
    <n v="578.86"/>
    <s v="Store D"/>
    <s v="Retail"/>
    <n v="0.15"/>
    <x v="2"/>
    <n v="5904.3719999999994"/>
    <s v="Cash"/>
    <s v="FREESHIP"/>
    <n v="0"/>
    <s v="REG101299"/>
    <s v="Cust 2111"/>
    <n v="25.84"/>
    <d v="2024-12-26T00:00:00"/>
    <d v="2025-01-03T00:00:00"/>
    <s v="Sophie"/>
    <x v="1"/>
    <x v="1"/>
  </r>
  <r>
    <d v="2025-01-23T00:00:00"/>
    <x v="0"/>
    <x v="5"/>
    <n v="7"/>
    <n v="196.88"/>
    <s v="Store C"/>
    <s v="Retail"/>
    <n v="0"/>
    <x v="4"/>
    <n v="1378.16"/>
    <s v="Debit Card"/>
    <s v="SAVE10"/>
    <n v="0"/>
    <s v="REG101300"/>
    <s v="Cust 9506"/>
    <n v="44.92"/>
    <d v="2025-01-23T00:00:00"/>
    <d v="2025-01-31T00:00:00"/>
    <s v="Eric"/>
    <x v="12"/>
    <x v="3"/>
  </r>
  <r>
    <d v="2024-03-25T00:00:00"/>
    <x v="1"/>
    <x v="1"/>
    <n v="7"/>
    <n v="446.32"/>
    <s v="Store B"/>
    <s v="Wholesale"/>
    <n v="0.1"/>
    <x v="1"/>
    <n v="2811.8159999999998"/>
    <s v="Debit Card"/>
    <m/>
    <n v="0"/>
    <s v="REG101301"/>
    <s v="Cust 2341"/>
    <n v="47.23"/>
    <d v="2024-03-25T00:00:00"/>
    <d v="2024-04-01T00:00:00"/>
    <s v="Sophie"/>
    <x v="25"/>
    <x v="7"/>
  </r>
  <r>
    <d v="2025-03-04T00:00:00"/>
    <x v="3"/>
    <x v="5"/>
    <n v="11"/>
    <n v="447.38"/>
    <s v="Store D"/>
    <s v="Wholesale"/>
    <n v="0"/>
    <x v="1"/>
    <n v="4921.18"/>
    <s v="Gift Card"/>
    <s v="SAVE10"/>
    <n v="0"/>
    <s v="REG101302"/>
    <s v="Cust 7035"/>
    <n v="36.72"/>
    <d v="2025-03-04T00:00:00"/>
    <d v="2025-03-11T00:00:00"/>
    <s v="Cameron"/>
    <x v="8"/>
    <x v="6"/>
  </r>
  <r>
    <d v="2023-10-20T00:00:00"/>
    <x v="1"/>
    <x v="2"/>
    <n v="14"/>
    <n v="275.33999999999997"/>
    <s v="Store B"/>
    <s v="Retail"/>
    <n v="0.1"/>
    <x v="3"/>
    <n v="3469.2840000000001"/>
    <s v="Online"/>
    <m/>
    <n v="1"/>
    <s v="REG101303"/>
    <s v="Cust 5935"/>
    <n v="32.799999999999997"/>
    <d v="2023-10-20T00:00:00"/>
    <d v="2023-10-24T00:00:00"/>
    <s v="Sophie"/>
    <x v="19"/>
    <x v="14"/>
  </r>
  <r>
    <d v="2024-09-19T00:00:00"/>
    <x v="3"/>
    <x v="2"/>
    <n v="2"/>
    <n v="27.64"/>
    <s v="Store B"/>
    <s v="Retail"/>
    <n v="0.15"/>
    <x v="2"/>
    <n v="46.988"/>
    <s v="Credit Card"/>
    <s v="FREESHIP"/>
    <n v="0"/>
    <s v="REG101304"/>
    <s v="Cust 3291"/>
    <n v="21.73"/>
    <d v="2024-09-19T00:00:00"/>
    <d v="2024-09-28T00:00:00"/>
    <s v="Cameron"/>
    <x v="26"/>
    <x v="5"/>
  </r>
  <r>
    <d v="2023-09-23T00:00:00"/>
    <x v="2"/>
    <x v="4"/>
    <n v="17"/>
    <n v="439.3"/>
    <s v="Store B"/>
    <s v="Retail"/>
    <n v="0"/>
    <x v="2"/>
    <n v="7468.1"/>
    <s v="Online"/>
    <s v="FREESHIP"/>
    <n v="0"/>
    <s v="REG101305"/>
    <s v="Cust 5258"/>
    <n v="12.87"/>
    <d v="2023-09-23T00:00:00"/>
    <d v="2023-09-26T00:00:00"/>
    <s v="Ryan"/>
    <x v="22"/>
    <x v="14"/>
  </r>
  <r>
    <d v="2024-12-31T00:00:00"/>
    <x v="0"/>
    <x v="6"/>
    <n v="15"/>
    <n v="573.80999999999995"/>
    <s v="Store C"/>
    <s v="Retail"/>
    <n v="0"/>
    <x v="1"/>
    <n v="8607.15"/>
    <s v="Gift Card"/>
    <s v="SAVE10"/>
    <n v="0"/>
    <s v="REG101306"/>
    <s v="Cust 4715"/>
    <n v="35.869999999999997"/>
    <d v="2024-12-31T00:00:00"/>
    <d v="2025-01-02T00:00:00"/>
    <s v="Eric"/>
    <x v="1"/>
    <x v="16"/>
  </r>
  <r>
    <d v="2024-01-23T00:00:00"/>
    <x v="2"/>
    <x v="2"/>
    <n v="19"/>
    <n v="360.06"/>
    <s v="Store C"/>
    <s v="Wholesale"/>
    <n v="0.05"/>
    <x v="0"/>
    <n v="6499.0829999999996"/>
    <s v="Debit Card"/>
    <s v="FREESHIP"/>
    <n v="0"/>
    <s v="REG101307"/>
    <s v="Cust 3106"/>
    <n v="33.19"/>
    <d v="2024-01-23T00:00:00"/>
    <d v="2024-01-31T00:00:00"/>
    <s v="Ryan"/>
    <x v="24"/>
    <x v="4"/>
  </r>
  <r>
    <d v="2023-06-13T00:00:00"/>
    <x v="0"/>
    <x v="0"/>
    <n v="7"/>
    <n v="535.20000000000005"/>
    <s v="Store C"/>
    <s v="Retail"/>
    <n v="0.1"/>
    <x v="2"/>
    <n v="3371.7600000000011"/>
    <s v="Debit Card"/>
    <m/>
    <n v="0"/>
    <s v="REG101308"/>
    <s v="Cust 9606"/>
    <n v="10.44"/>
    <d v="2023-06-13T00:00:00"/>
    <d v="2023-06-23T00:00:00"/>
    <s v="Eric"/>
    <x v="4"/>
    <x v="2"/>
  </r>
  <r>
    <d v="2023-07-01T00:00:00"/>
    <x v="0"/>
    <x v="3"/>
    <n v="19"/>
    <n v="161.13"/>
    <s v="Store A"/>
    <s v="Wholesale"/>
    <n v="0"/>
    <x v="4"/>
    <n v="3061.47"/>
    <s v="Credit Card"/>
    <s v="FREESHIP"/>
    <n v="0"/>
    <s v="REG101309"/>
    <s v="Cust 9182"/>
    <n v="5.46"/>
    <d v="2023-07-01T00:00:00"/>
    <d v="2023-07-06T00:00:00"/>
    <s v="Eric"/>
    <x v="11"/>
    <x v="2"/>
  </r>
  <r>
    <d v="2025-03-22T00:00:00"/>
    <x v="1"/>
    <x v="0"/>
    <n v="11"/>
    <n v="29.6"/>
    <s v="Store D"/>
    <s v="Retail"/>
    <n v="0.15"/>
    <x v="3"/>
    <n v="276.76"/>
    <s v="Cash"/>
    <s v="FREESHIP"/>
    <n v="1"/>
    <s v="REG101310"/>
    <s v="Cust 6299"/>
    <n v="34.96"/>
    <d v="2025-03-22T00:00:00"/>
    <d v="2025-03-25T00:00:00"/>
    <s v="Sophie"/>
    <x v="8"/>
    <x v="6"/>
  </r>
  <r>
    <d v="2025-02-07T00:00:00"/>
    <x v="1"/>
    <x v="0"/>
    <n v="16"/>
    <n v="172.89"/>
    <s v="Store B"/>
    <s v="Wholesale"/>
    <n v="0.15"/>
    <x v="4"/>
    <n v="2351.3040000000001"/>
    <s v="Credit Card"/>
    <s v="FREESHIP"/>
    <n v="1"/>
    <s v="REG101311"/>
    <s v="Cust 9628"/>
    <n v="41.87"/>
    <d v="2025-02-07T00:00:00"/>
    <d v="2025-02-15T00:00:00"/>
    <s v="Sophie"/>
    <x v="3"/>
    <x v="3"/>
  </r>
  <r>
    <d v="2023-10-18T00:00:00"/>
    <x v="2"/>
    <x v="1"/>
    <n v="5"/>
    <n v="48.06"/>
    <s v="Store A"/>
    <s v="Wholesale"/>
    <n v="0"/>
    <x v="1"/>
    <n v="240.3"/>
    <s v="Gift Card"/>
    <s v="FREESHIP"/>
    <n v="0"/>
    <s v="REG101312"/>
    <s v="Cust 3831"/>
    <n v="19.170000000000002"/>
    <d v="2023-10-18T00:00:00"/>
    <d v="2023-10-26T00:00:00"/>
    <s v="Ryan"/>
    <x v="19"/>
    <x v="14"/>
  </r>
  <r>
    <d v="2024-01-02T00:00:00"/>
    <x v="3"/>
    <x v="2"/>
    <n v="7"/>
    <n v="55.76"/>
    <s v="Store C"/>
    <s v="Wholesale"/>
    <n v="0.1"/>
    <x v="1"/>
    <n v="351.28800000000001"/>
    <s v="Online"/>
    <m/>
    <n v="0"/>
    <s v="REG101313"/>
    <s v="Cust 7955"/>
    <n v="38.979999999999997"/>
    <d v="2024-01-02T00:00:00"/>
    <d v="2024-01-11T00:00:00"/>
    <s v="Cameron"/>
    <x v="24"/>
    <x v="15"/>
  </r>
  <r>
    <d v="2025-03-08T00:00:00"/>
    <x v="1"/>
    <x v="0"/>
    <n v="4"/>
    <n v="24.58"/>
    <s v="Store B"/>
    <s v="Wholesale"/>
    <n v="0.15"/>
    <x v="3"/>
    <n v="83.571999999999989"/>
    <s v="Debit Card"/>
    <s v="WINTER15"/>
    <n v="0"/>
    <s v="REG101314"/>
    <s v="Cust 3939"/>
    <n v="39.869999999999997"/>
    <d v="2025-03-08T00:00:00"/>
    <d v="2025-03-17T00:00:00"/>
    <s v="Sophie"/>
    <x v="8"/>
    <x v="6"/>
  </r>
  <r>
    <d v="2023-07-03T00:00:00"/>
    <x v="4"/>
    <x v="2"/>
    <n v="2"/>
    <n v="504.82"/>
    <s v="Store D"/>
    <s v="Retail"/>
    <n v="0"/>
    <x v="3"/>
    <n v="1009.64"/>
    <s v="Debit Card"/>
    <s v="FREESHIP"/>
    <n v="0"/>
    <s v="REG101315"/>
    <s v="Cust 7916"/>
    <n v="25.54"/>
    <d v="2023-07-03T00:00:00"/>
    <d v="2023-07-08T00:00:00"/>
    <s v="Wendy"/>
    <x v="11"/>
    <x v="9"/>
  </r>
  <r>
    <d v="2023-11-15T00:00:00"/>
    <x v="2"/>
    <x v="5"/>
    <n v="17"/>
    <n v="275.89"/>
    <s v="Store B"/>
    <s v="Wholesale"/>
    <n v="0.1"/>
    <x v="5"/>
    <n v="4221.1170000000002"/>
    <s v="Gift Card"/>
    <s v="FREESHIP"/>
    <n v="0"/>
    <s v="REG101316"/>
    <s v="Cust 2477"/>
    <n v="15.43"/>
    <d v="2023-11-15T00:00:00"/>
    <d v="2023-11-22T00:00:00"/>
    <s v="Ryan"/>
    <x v="15"/>
    <x v="12"/>
  </r>
  <r>
    <d v="2024-02-10T00:00:00"/>
    <x v="4"/>
    <x v="2"/>
    <n v="9"/>
    <n v="130.57"/>
    <s v="Store C"/>
    <s v="Wholesale"/>
    <n v="0.1"/>
    <x v="0"/>
    <n v="1057.617"/>
    <s v="Cash"/>
    <s v="WINTER15"/>
    <n v="0"/>
    <s v="REG101317"/>
    <s v="Cust 3781"/>
    <n v="37.14"/>
    <d v="2024-02-10T00:00:00"/>
    <d v="2024-02-17T00:00:00"/>
    <s v="Wendy"/>
    <x v="5"/>
    <x v="4"/>
  </r>
  <r>
    <d v="2025-04-09T00:00:00"/>
    <x v="4"/>
    <x v="4"/>
    <n v="12"/>
    <n v="312.72000000000003"/>
    <s v="Store C"/>
    <s v="Retail"/>
    <n v="0"/>
    <x v="0"/>
    <n v="3752.64"/>
    <s v="Gift Card"/>
    <m/>
    <n v="0"/>
    <s v="REG101318"/>
    <s v="Cust 2641"/>
    <n v="18.46"/>
    <d v="2025-04-09T00:00:00"/>
    <d v="2025-04-19T00:00:00"/>
    <s v="Wendy"/>
    <x v="28"/>
    <x v="6"/>
  </r>
  <r>
    <d v="2023-09-09T00:00:00"/>
    <x v="4"/>
    <x v="5"/>
    <n v="18"/>
    <n v="222.66"/>
    <s v="Store C"/>
    <s v="Wholesale"/>
    <n v="0.05"/>
    <x v="1"/>
    <n v="3807.4859999999999"/>
    <s v="Gift Card"/>
    <s v="SAVE10"/>
    <n v="0"/>
    <s v="REG101319"/>
    <s v="Cust 1969"/>
    <n v="12.91"/>
    <d v="2023-09-09T00:00:00"/>
    <d v="2023-09-12T00:00:00"/>
    <s v="Wendy"/>
    <x v="22"/>
    <x v="14"/>
  </r>
  <r>
    <d v="2023-03-19T00:00:00"/>
    <x v="0"/>
    <x v="1"/>
    <n v="13"/>
    <n v="374.05"/>
    <s v="Store D"/>
    <s v="Wholesale"/>
    <n v="0.05"/>
    <x v="4"/>
    <n v="4619.5174999999999"/>
    <s v="Debit Card"/>
    <s v="FREESHIP"/>
    <n v="0"/>
    <s v="REG101320"/>
    <s v="Cust 4494"/>
    <n v="26.32"/>
    <d v="2023-03-19T00:00:00"/>
    <d v="2023-03-26T00:00:00"/>
    <s v="Eric"/>
    <x v="17"/>
    <x v="13"/>
  </r>
  <r>
    <d v="2024-12-31T00:00:00"/>
    <x v="3"/>
    <x v="6"/>
    <n v="11"/>
    <n v="331.29"/>
    <s v="Store B"/>
    <s v="Wholesale"/>
    <n v="0.1"/>
    <x v="1"/>
    <n v="3279.7710000000002"/>
    <s v="Credit Card"/>
    <s v="WINTER15"/>
    <n v="0"/>
    <s v="REG101321"/>
    <s v="Cust 8850"/>
    <n v="6.22"/>
    <d v="2024-12-31T00:00:00"/>
    <d v="2025-01-02T00:00:00"/>
    <s v="Cameron"/>
    <x v="1"/>
    <x v="16"/>
  </r>
  <r>
    <d v="2023-11-24T00:00:00"/>
    <x v="3"/>
    <x v="1"/>
    <n v="5"/>
    <n v="533.52"/>
    <s v="Store D"/>
    <s v="Wholesale"/>
    <n v="0"/>
    <x v="3"/>
    <n v="2667.6"/>
    <s v="Credit Card"/>
    <s v="FREESHIP"/>
    <n v="1"/>
    <s v="REG101322"/>
    <s v="Cust 3061"/>
    <n v="9.08"/>
    <d v="2023-11-24T00:00:00"/>
    <d v="2023-11-26T00:00:00"/>
    <s v="Cameron"/>
    <x v="15"/>
    <x v="12"/>
  </r>
  <r>
    <d v="2025-05-15T00:00:00"/>
    <x v="0"/>
    <x v="3"/>
    <n v="10"/>
    <n v="492.24"/>
    <s v="Store A"/>
    <s v="Retail"/>
    <n v="0"/>
    <x v="1"/>
    <n v="4922.3999999999996"/>
    <s v="Gift Card"/>
    <s v="WINTER15"/>
    <n v="0"/>
    <s v="REG101323"/>
    <s v="Cust 4732"/>
    <n v="38.89"/>
    <d v="2025-05-15T00:00:00"/>
    <d v="2025-05-22T00:00:00"/>
    <s v="Eric"/>
    <x v="13"/>
    <x v="10"/>
  </r>
  <r>
    <d v="2025-04-06T00:00:00"/>
    <x v="1"/>
    <x v="5"/>
    <n v="9"/>
    <n v="543.57000000000005"/>
    <s v="Store D"/>
    <s v="Retail"/>
    <n v="0.15"/>
    <x v="4"/>
    <n v="4158.3104999999996"/>
    <s v="Debit Card"/>
    <s v="SAVE10"/>
    <n v="0"/>
    <s v="REG101324"/>
    <s v="Cust 9889"/>
    <n v="7.54"/>
    <d v="2025-04-06T00:00:00"/>
    <d v="2025-04-11T00:00:00"/>
    <s v="Sophie"/>
    <x v="28"/>
    <x v="6"/>
  </r>
  <r>
    <d v="2024-02-06T00:00:00"/>
    <x v="1"/>
    <x v="2"/>
    <n v="17"/>
    <n v="141.76"/>
    <s v="Store D"/>
    <s v="Wholesale"/>
    <n v="0.1"/>
    <x v="5"/>
    <n v="2168.9279999999999"/>
    <s v="Cash"/>
    <s v="WINTER15"/>
    <n v="1"/>
    <s v="REG101325"/>
    <s v="Cust 2165"/>
    <n v="9.98"/>
    <d v="2024-02-06T00:00:00"/>
    <d v="2024-02-14T00:00:00"/>
    <s v="Sophie"/>
    <x v="5"/>
    <x v="4"/>
  </r>
  <r>
    <d v="2025-05-14T00:00:00"/>
    <x v="2"/>
    <x v="0"/>
    <n v="12"/>
    <n v="502.7"/>
    <s v="Store D"/>
    <s v="Wholesale"/>
    <n v="0.1"/>
    <x v="1"/>
    <n v="5429.16"/>
    <s v="Credit Card"/>
    <s v="FREESHIP"/>
    <n v="0"/>
    <s v="REG101326"/>
    <s v="Cust 6121"/>
    <n v="6.49"/>
    <d v="2025-05-14T00:00:00"/>
    <d v="2025-05-20T00:00:00"/>
    <s v="Ryan"/>
    <x v="13"/>
    <x v="10"/>
  </r>
  <r>
    <d v="2023-01-13T00:00:00"/>
    <x v="0"/>
    <x v="5"/>
    <n v="10"/>
    <n v="155.43"/>
    <s v="Store D"/>
    <s v="Wholesale"/>
    <n v="0.05"/>
    <x v="2"/>
    <n v="1476.585"/>
    <s v="Gift Card"/>
    <s v="WINTER15"/>
    <n v="0"/>
    <s v="REG101327"/>
    <s v="Cust 4071"/>
    <n v="26.49"/>
    <d v="2023-01-13T00:00:00"/>
    <d v="2023-01-18T00:00:00"/>
    <s v="Eric"/>
    <x v="6"/>
    <x v="0"/>
  </r>
  <r>
    <d v="2024-02-19T00:00:00"/>
    <x v="2"/>
    <x v="5"/>
    <n v="18"/>
    <n v="203.73"/>
    <s v="Store B"/>
    <s v="Wholesale"/>
    <n v="0"/>
    <x v="3"/>
    <n v="3667.14"/>
    <s v="Gift Card"/>
    <s v="SAVE10"/>
    <n v="1"/>
    <s v="REG101328"/>
    <s v="Cust 5249"/>
    <n v="24.98"/>
    <d v="2024-02-19T00:00:00"/>
    <d v="2024-02-28T00:00:00"/>
    <s v="Ryan"/>
    <x v="5"/>
    <x v="4"/>
  </r>
  <r>
    <d v="2023-10-07T00:00:00"/>
    <x v="1"/>
    <x v="1"/>
    <n v="3"/>
    <n v="464.11"/>
    <s v="Store B"/>
    <s v="Wholesale"/>
    <n v="0.15"/>
    <x v="1"/>
    <n v="1183.4804999999999"/>
    <s v="Gift Card"/>
    <m/>
    <n v="0"/>
    <s v="REG101329"/>
    <s v="Cust 4262"/>
    <n v="27.45"/>
    <d v="2023-10-07T00:00:00"/>
    <d v="2023-10-12T00:00:00"/>
    <s v="Sophie"/>
    <x v="19"/>
    <x v="14"/>
  </r>
  <r>
    <d v="2024-09-17T00:00:00"/>
    <x v="3"/>
    <x v="3"/>
    <n v="2"/>
    <n v="442.03"/>
    <s v="Store B"/>
    <s v="Retail"/>
    <n v="0.15"/>
    <x v="3"/>
    <n v="751.45099999999991"/>
    <s v="Debit Card"/>
    <s v="WINTER15"/>
    <n v="0"/>
    <s v="REG101330"/>
    <s v="Cust 9314"/>
    <n v="28.71"/>
    <d v="2024-09-17T00:00:00"/>
    <d v="2024-09-19T00:00:00"/>
    <s v="Cameron"/>
    <x v="26"/>
    <x v="5"/>
  </r>
  <r>
    <d v="2023-05-07T00:00:00"/>
    <x v="2"/>
    <x v="1"/>
    <n v="7"/>
    <n v="82.91"/>
    <s v="Store A"/>
    <s v="Retail"/>
    <n v="0.05"/>
    <x v="0"/>
    <n v="551.35149999999999"/>
    <s v="Debit Card"/>
    <s v="WINTER15"/>
    <n v="1"/>
    <s v="REG101331"/>
    <s v="Cust 7703"/>
    <n v="17.03"/>
    <d v="2023-05-07T00:00:00"/>
    <d v="2023-05-17T00:00:00"/>
    <s v="Ryan"/>
    <x v="2"/>
    <x v="2"/>
  </r>
  <r>
    <d v="2023-12-12T00:00:00"/>
    <x v="2"/>
    <x v="1"/>
    <n v="13"/>
    <n v="468.16"/>
    <s v="Store B"/>
    <s v="Retail"/>
    <n v="0.15"/>
    <x v="1"/>
    <n v="5173.1679999999997"/>
    <s v="Cash"/>
    <s v="SAVE10"/>
    <n v="0"/>
    <s v="REG101332"/>
    <s v="Cust 8367"/>
    <n v="29.11"/>
    <d v="2023-12-12T00:00:00"/>
    <d v="2023-12-21T00:00:00"/>
    <s v="Ryan"/>
    <x v="27"/>
    <x v="12"/>
  </r>
  <r>
    <d v="2025-03-11T00:00:00"/>
    <x v="3"/>
    <x v="5"/>
    <n v="3"/>
    <n v="11.32"/>
    <s v="Store C"/>
    <s v="Retail"/>
    <n v="0.05"/>
    <x v="0"/>
    <n v="32.262"/>
    <s v="Online"/>
    <s v="WINTER15"/>
    <n v="0"/>
    <s v="REG101333"/>
    <s v="Cust 7872"/>
    <n v="16.39"/>
    <d v="2025-03-11T00:00:00"/>
    <d v="2025-03-14T00:00:00"/>
    <s v="Cameron"/>
    <x v="8"/>
    <x v="6"/>
  </r>
  <r>
    <d v="2024-03-29T00:00:00"/>
    <x v="0"/>
    <x v="3"/>
    <n v="1"/>
    <n v="378.36"/>
    <s v="Store A"/>
    <s v="Retail"/>
    <n v="0.05"/>
    <x v="0"/>
    <n v="359.44200000000001"/>
    <s v="Cash"/>
    <m/>
    <n v="0"/>
    <s v="REG101334"/>
    <s v="Cust 4732"/>
    <n v="7.59"/>
    <d v="2024-03-29T00:00:00"/>
    <d v="2024-04-07T00:00:00"/>
    <s v="Eric"/>
    <x v="25"/>
    <x v="7"/>
  </r>
  <r>
    <d v="2024-07-28T00:00:00"/>
    <x v="4"/>
    <x v="5"/>
    <n v="6"/>
    <n v="61.06"/>
    <s v="Store D"/>
    <s v="Wholesale"/>
    <n v="0"/>
    <x v="5"/>
    <n v="366.36"/>
    <s v="Debit Card"/>
    <s v="SAVE10"/>
    <n v="1"/>
    <s v="REG101335"/>
    <s v="Cust 1007"/>
    <n v="49.09"/>
    <d v="2024-07-28T00:00:00"/>
    <d v="2024-08-05T00:00:00"/>
    <s v="Wendy"/>
    <x v="10"/>
    <x v="8"/>
  </r>
  <r>
    <d v="2024-07-11T00:00:00"/>
    <x v="1"/>
    <x v="5"/>
    <n v="14"/>
    <n v="98.06"/>
    <s v="Store A"/>
    <s v="Wholesale"/>
    <n v="0.1"/>
    <x v="1"/>
    <n v="1235.556"/>
    <s v="Debit Card"/>
    <s v="SAVE10"/>
    <n v="1"/>
    <s v="REG101336"/>
    <s v="Cust 1946"/>
    <n v="10.34"/>
    <d v="2024-07-11T00:00:00"/>
    <d v="2024-07-21T00:00:00"/>
    <s v="Sophie"/>
    <x v="10"/>
    <x v="8"/>
  </r>
  <r>
    <d v="2024-07-05T00:00:00"/>
    <x v="4"/>
    <x v="0"/>
    <n v="16"/>
    <n v="123.86"/>
    <s v="Store A"/>
    <s v="Wholesale"/>
    <n v="0.15"/>
    <x v="1"/>
    <n v="1684.4960000000001"/>
    <s v="Gift Card"/>
    <m/>
    <n v="1"/>
    <s v="REG101337"/>
    <s v="Cust 6347"/>
    <n v="18.02"/>
    <d v="2024-07-05T00:00:00"/>
    <d v="2024-07-14T00:00:00"/>
    <s v="Wendy"/>
    <x v="10"/>
    <x v="8"/>
  </r>
  <r>
    <d v="2024-03-19T00:00:00"/>
    <x v="0"/>
    <x v="0"/>
    <n v="16"/>
    <n v="90.3"/>
    <s v="Store C"/>
    <s v="Wholesale"/>
    <n v="0.05"/>
    <x v="4"/>
    <n v="1372.56"/>
    <s v="Online"/>
    <s v="WINTER15"/>
    <n v="0"/>
    <s v="REG101338"/>
    <s v="Cust 6499"/>
    <n v="25.25"/>
    <d v="2024-03-19T00:00:00"/>
    <d v="2024-03-24T00:00:00"/>
    <s v="Eric"/>
    <x v="25"/>
    <x v="7"/>
  </r>
  <r>
    <d v="2023-12-25T00:00:00"/>
    <x v="3"/>
    <x v="5"/>
    <n v="18"/>
    <n v="470.91"/>
    <s v="Store C"/>
    <s v="Wholesale"/>
    <n v="0.1"/>
    <x v="0"/>
    <n v="7628.7420000000011"/>
    <s v="Gift Card"/>
    <s v="FREESHIP"/>
    <n v="0"/>
    <s v="REG101339"/>
    <s v="Cust 1420"/>
    <n v="14.87"/>
    <d v="2023-12-25T00:00:00"/>
    <d v="2023-12-29T00:00:00"/>
    <s v="Cameron"/>
    <x v="27"/>
    <x v="12"/>
  </r>
  <r>
    <d v="2024-12-03T00:00:00"/>
    <x v="1"/>
    <x v="4"/>
    <n v="12"/>
    <n v="383.45"/>
    <s v="Store C"/>
    <s v="Retail"/>
    <n v="0"/>
    <x v="5"/>
    <n v="4601.3999999999996"/>
    <s v="Debit Card"/>
    <s v="FREESHIP"/>
    <n v="0"/>
    <s v="REG101340"/>
    <s v="Cust 6744"/>
    <n v="11.62"/>
    <d v="2024-12-03T00:00:00"/>
    <d v="2024-12-05T00:00:00"/>
    <s v="Sophie"/>
    <x v="1"/>
    <x v="1"/>
  </r>
  <r>
    <d v="2023-09-08T00:00:00"/>
    <x v="0"/>
    <x v="5"/>
    <n v="20"/>
    <n v="293.94"/>
    <s v="Store B"/>
    <s v="Retail"/>
    <n v="0.15"/>
    <x v="1"/>
    <n v="4996.9799999999996"/>
    <s v="Credit Card"/>
    <s v="SAVE10"/>
    <n v="0"/>
    <s v="REG101341"/>
    <s v="Cust 5690"/>
    <n v="9.2899999999999991"/>
    <d v="2023-09-08T00:00:00"/>
    <d v="2023-09-15T00:00:00"/>
    <s v="Eric"/>
    <x v="22"/>
    <x v="14"/>
  </r>
  <r>
    <d v="2024-01-05T00:00:00"/>
    <x v="0"/>
    <x v="2"/>
    <n v="2"/>
    <n v="454.01"/>
    <s v="Store B"/>
    <s v="Wholesale"/>
    <n v="0"/>
    <x v="4"/>
    <n v="908.02"/>
    <s v="Online"/>
    <s v="WINTER15"/>
    <n v="0"/>
    <s v="REG101342"/>
    <s v="Cust 1265"/>
    <n v="9.7799999999999994"/>
    <d v="2024-01-05T00:00:00"/>
    <d v="2024-01-07T00:00:00"/>
    <s v="Eric"/>
    <x v="24"/>
    <x v="4"/>
  </r>
  <r>
    <d v="2023-08-03T00:00:00"/>
    <x v="1"/>
    <x v="3"/>
    <n v="5"/>
    <n v="163.55000000000001"/>
    <s v="Store D"/>
    <s v="Retail"/>
    <n v="0.05"/>
    <x v="2"/>
    <n v="776.86249999999995"/>
    <s v="Cash"/>
    <m/>
    <n v="0"/>
    <s v="REG101343"/>
    <s v="Cust 7676"/>
    <n v="28.9"/>
    <d v="2023-08-03T00:00:00"/>
    <d v="2023-08-10T00:00:00"/>
    <s v="Sophie"/>
    <x v="18"/>
    <x v="9"/>
  </r>
  <r>
    <d v="2025-02-11T00:00:00"/>
    <x v="2"/>
    <x v="4"/>
    <n v="12"/>
    <n v="141.61000000000001"/>
    <s v="Store B"/>
    <s v="Wholesale"/>
    <n v="0"/>
    <x v="2"/>
    <n v="1699.32"/>
    <s v="Credit Card"/>
    <s v="WINTER15"/>
    <n v="0"/>
    <s v="REG101344"/>
    <s v="Cust 4442"/>
    <n v="11.72"/>
    <d v="2025-02-11T00:00:00"/>
    <d v="2025-02-21T00:00:00"/>
    <s v="Ryan"/>
    <x v="3"/>
    <x v="3"/>
  </r>
  <r>
    <d v="2023-06-17T00:00:00"/>
    <x v="1"/>
    <x v="3"/>
    <n v="6"/>
    <n v="332.18"/>
    <s v="Store B"/>
    <s v="Wholesale"/>
    <n v="0.1"/>
    <x v="5"/>
    <n v="1793.7719999999999"/>
    <s v="Online"/>
    <s v="WINTER15"/>
    <n v="0"/>
    <s v="REG101345"/>
    <s v="Cust 2975"/>
    <n v="21.95"/>
    <d v="2023-06-17T00:00:00"/>
    <d v="2023-06-21T00:00:00"/>
    <s v="Sophie"/>
    <x v="4"/>
    <x v="2"/>
  </r>
  <r>
    <d v="2024-02-05T00:00:00"/>
    <x v="3"/>
    <x v="4"/>
    <n v="14"/>
    <n v="463.96"/>
    <s v="Store D"/>
    <s v="Retail"/>
    <n v="0.15"/>
    <x v="4"/>
    <n v="5521.1239999999998"/>
    <s v="Gift Card"/>
    <m/>
    <n v="0"/>
    <s v="REG101346"/>
    <s v="Cust 7832"/>
    <n v="29.19"/>
    <d v="2024-02-05T00:00:00"/>
    <d v="2024-02-14T00:00:00"/>
    <s v="Cameron"/>
    <x v="5"/>
    <x v="4"/>
  </r>
  <r>
    <d v="2024-03-17T00:00:00"/>
    <x v="1"/>
    <x v="2"/>
    <n v="10"/>
    <n v="68.27"/>
    <s v="Store A"/>
    <s v="Wholesale"/>
    <n v="0.15"/>
    <x v="4"/>
    <n v="580.29499999999996"/>
    <s v="Credit Card"/>
    <m/>
    <n v="0"/>
    <s v="REG101347"/>
    <s v="Cust 7753"/>
    <n v="24.33"/>
    <d v="2024-03-17T00:00:00"/>
    <d v="2024-03-27T00:00:00"/>
    <s v="Sophie"/>
    <x v="25"/>
    <x v="7"/>
  </r>
  <r>
    <d v="2024-02-03T00:00:00"/>
    <x v="3"/>
    <x v="0"/>
    <n v="8"/>
    <n v="27.01"/>
    <s v="Store C"/>
    <s v="Wholesale"/>
    <n v="0.05"/>
    <x v="0"/>
    <n v="205.27600000000001"/>
    <s v="Online"/>
    <s v="FREESHIP"/>
    <n v="1"/>
    <s v="REG101348"/>
    <s v="Cust 8639"/>
    <n v="42.65"/>
    <d v="2024-02-03T00:00:00"/>
    <d v="2024-02-09T00:00:00"/>
    <s v="Cameron"/>
    <x v="5"/>
    <x v="4"/>
  </r>
  <r>
    <d v="2023-03-31T00:00:00"/>
    <x v="2"/>
    <x v="5"/>
    <n v="9"/>
    <n v="78.8"/>
    <s v="Store D"/>
    <s v="Retail"/>
    <n v="0.1"/>
    <x v="1"/>
    <n v="638.28"/>
    <s v="Online"/>
    <s v="FREESHIP"/>
    <n v="0"/>
    <s v="REG101349"/>
    <s v="Cust 9878"/>
    <n v="9.2899999999999991"/>
    <d v="2023-03-31T00:00:00"/>
    <d v="2023-04-10T00:00:00"/>
    <s v="Ryan"/>
    <x v="17"/>
    <x v="13"/>
  </r>
  <r>
    <d v="2023-08-18T00:00:00"/>
    <x v="4"/>
    <x v="5"/>
    <n v="16"/>
    <n v="174.68"/>
    <s v="Store B"/>
    <s v="Wholesale"/>
    <n v="0.15"/>
    <x v="2"/>
    <n v="2375.6480000000001"/>
    <s v="Credit Card"/>
    <m/>
    <n v="0"/>
    <s v="REG101350"/>
    <s v="Cust 4205"/>
    <n v="45.99"/>
    <d v="2023-08-18T00:00:00"/>
    <d v="2023-08-22T00:00:00"/>
    <s v="Wendy"/>
    <x v="18"/>
    <x v="9"/>
  </r>
  <r>
    <d v="2023-09-10T00:00:00"/>
    <x v="3"/>
    <x v="6"/>
    <n v="4"/>
    <n v="306.06"/>
    <s v="Store C"/>
    <s v="Wholesale"/>
    <n v="0.05"/>
    <x v="3"/>
    <n v="1163.028"/>
    <s v="Gift Card"/>
    <s v="SAVE10"/>
    <n v="1"/>
    <s v="REG101351"/>
    <s v="Cust 4009"/>
    <n v="32.75"/>
    <d v="2023-09-10T00:00:00"/>
    <d v="2023-09-13T00:00:00"/>
    <s v="Cameron"/>
    <x v="22"/>
    <x v="14"/>
  </r>
  <r>
    <d v="2024-01-29T00:00:00"/>
    <x v="1"/>
    <x v="5"/>
    <n v="12"/>
    <n v="164.22"/>
    <s v="Store C"/>
    <s v="Retail"/>
    <n v="0"/>
    <x v="5"/>
    <n v="1970.64"/>
    <s v="Credit Card"/>
    <s v="FREESHIP"/>
    <n v="0"/>
    <s v="REG101352"/>
    <s v="Cust 6499"/>
    <n v="21.46"/>
    <d v="2024-01-29T00:00:00"/>
    <d v="2024-02-03T00:00:00"/>
    <s v="Sophie"/>
    <x v="24"/>
    <x v="4"/>
  </r>
  <r>
    <d v="2024-03-21T00:00:00"/>
    <x v="2"/>
    <x v="5"/>
    <n v="20"/>
    <n v="336.29"/>
    <s v="Store C"/>
    <s v="Retail"/>
    <n v="0"/>
    <x v="0"/>
    <n v="6725.8"/>
    <s v="Gift Card"/>
    <s v="FREESHIP"/>
    <n v="0"/>
    <s v="REG101353"/>
    <s v="Cust 4389"/>
    <n v="25.02"/>
    <d v="2024-03-21T00:00:00"/>
    <d v="2024-03-30T00:00:00"/>
    <s v="Ryan"/>
    <x v="25"/>
    <x v="7"/>
  </r>
  <r>
    <d v="2024-08-03T00:00:00"/>
    <x v="4"/>
    <x v="5"/>
    <n v="7"/>
    <n v="180.25"/>
    <s v="Store D"/>
    <s v="Retail"/>
    <n v="0.1"/>
    <x v="4"/>
    <n v="1135.575"/>
    <s v="Gift Card"/>
    <s v="WINTER15"/>
    <n v="0"/>
    <s v="REG101354"/>
    <s v="Cust 2008"/>
    <n v="36.79"/>
    <d v="2024-08-03T00:00:00"/>
    <d v="2024-08-05T00:00:00"/>
    <s v="Wendy"/>
    <x v="29"/>
    <x v="8"/>
  </r>
  <r>
    <d v="2025-05-05T00:00:00"/>
    <x v="2"/>
    <x v="4"/>
    <n v="1"/>
    <n v="21.75"/>
    <s v="Store C"/>
    <s v="Retail"/>
    <n v="0"/>
    <x v="1"/>
    <n v="21.75"/>
    <s v="Cash"/>
    <s v="FREESHIP"/>
    <n v="0"/>
    <s v="REG101355"/>
    <s v="Cust 6509"/>
    <n v="7.35"/>
    <d v="2025-05-05T00:00:00"/>
    <d v="2025-05-14T00:00:00"/>
    <s v="Ryan"/>
    <x v="13"/>
    <x v="10"/>
  </r>
  <r>
    <d v="2023-02-08T00:00:00"/>
    <x v="4"/>
    <x v="5"/>
    <n v="13"/>
    <n v="149.16"/>
    <s v="Store C"/>
    <s v="Retail"/>
    <n v="0.1"/>
    <x v="0"/>
    <n v="1745.172"/>
    <s v="Cash"/>
    <m/>
    <n v="1"/>
    <s v="REG101356"/>
    <s v="Cust 4270"/>
    <n v="20.9"/>
    <d v="2023-02-08T00:00:00"/>
    <d v="2023-02-16T00:00:00"/>
    <s v="Wendy"/>
    <x v="0"/>
    <x v="0"/>
  </r>
  <r>
    <d v="2023-05-26T00:00:00"/>
    <x v="3"/>
    <x v="3"/>
    <n v="7"/>
    <n v="220.9"/>
    <s v="Store A"/>
    <s v="Wholesale"/>
    <n v="0.15"/>
    <x v="5"/>
    <n v="1314.355"/>
    <s v="Gift Card"/>
    <s v="FREESHIP"/>
    <n v="0"/>
    <s v="REG101357"/>
    <s v="Cust 4414"/>
    <n v="15.25"/>
    <d v="2023-05-26T00:00:00"/>
    <d v="2023-06-05T00:00:00"/>
    <s v="Cameron"/>
    <x v="2"/>
    <x v="2"/>
  </r>
  <r>
    <d v="2024-07-15T00:00:00"/>
    <x v="0"/>
    <x v="3"/>
    <n v="1"/>
    <n v="364.27"/>
    <s v="Store A"/>
    <s v="Retail"/>
    <n v="0.1"/>
    <x v="1"/>
    <n v="327.84300000000002"/>
    <s v="Debit Card"/>
    <s v="WINTER15"/>
    <n v="0"/>
    <s v="REG101358"/>
    <s v="Cust 6409"/>
    <n v="8.91"/>
    <d v="2024-07-15T00:00:00"/>
    <d v="2024-07-22T00:00:00"/>
    <s v="Eric"/>
    <x v="10"/>
    <x v="8"/>
  </r>
  <r>
    <d v="2024-12-18T00:00:00"/>
    <x v="2"/>
    <x v="4"/>
    <n v="9"/>
    <n v="306.42"/>
    <s v="Store C"/>
    <s v="Wholesale"/>
    <n v="0"/>
    <x v="5"/>
    <n v="2757.78"/>
    <s v="Online"/>
    <m/>
    <n v="0"/>
    <s v="REG101359"/>
    <s v="Cust 1621"/>
    <n v="15.81"/>
    <d v="2024-12-18T00:00:00"/>
    <d v="2024-12-27T00:00:00"/>
    <s v="Ryan"/>
    <x v="1"/>
    <x v="1"/>
  </r>
  <r>
    <d v="2024-09-29T00:00:00"/>
    <x v="2"/>
    <x v="5"/>
    <n v="18"/>
    <n v="589"/>
    <s v="Store B"/>
    <s v="Wholesale"/>
    <n v="0.1"/>
    <x v="4"/>
    <n v="9541.8000000000011"/>
    <s v="Cash"/>
    <s v="WINTER15"/>
    <n v="0"/>
    <s v="REG101360"/>
    <s v="Cust 6790"/>
    <n v="37.78"/>
    <d v="2024-09-29T00:00:00"/>
    <d v="2024-10-08T00:00:00"/>
    <s v="Ryan"/>
    <x v="26"/>
    <x v="5"/>
  </r>
  <r>
    <d v="2024-10-25T00:00:00"/>
    <x v="1"/>
    <x v="2"/>
    <n v="16"/>
    <n v="249.45"/>
    <s v="Store C"/>
    <s v="Wholesale"/>
    <n v="0.1"/>
    <x v="1"/>
    <n v="3592.08"/>
    <s v="Cash"/>
    <s v="FREESHIP"/>
    <n v="0"/>
    <s v="REG101361"/>
    <s v="Cust 4045"/>
    <n v="20.92"/>
    <d v="2024-10-25T00:00:00"/>
    <d v="2024-11-01T00:00:00"/>
    <s v="Sophie"/>
    <x v="7"/>
    <x v="5"/>
  </r>
  <r>
    <d v="2025-01-06T00:00:00"/>
    <x v="2"/>
    <x v="4"/>
    <n v="20"/>
    <n v="440.32"/>
    <s v="Store C"/>
    <s v="Retail"/>
    <n v="0.05"/>
    <x v="1"/>
    <n v="8366.08"/>
    <s v="Debit Card"/>
    <s v="SAVE10"/>
    <n v="1"/>
    <s v="REG101362"/>
    <s v="Cust 1258"/>
    <n v="6.17"/>
    <d v="2025-01-06T00:00:00"/>
    <d v="2025-01-16T00:00:00"/>
    <s v="Ryan"/>
    <x v="12"/>
    <x v="3"/>
  </r>
  <r>
    <d v="2023-11-19T00:00:00"/>
    <x v="3"/>
    <x v="5"/>
    <n v="3"/>
    <n v="101.34"/>
    <s v="Store A"/>
    <s v="Wholesale"/>
    <n v="0"/>
    <x v="3"/>
    <n v="304.02"/>
    <s v="Debit Card"/>
    <m/>
    <n v="0"/>
    <s v="REG101363"/>
    <s v="Cust 8051"/>
    <n v="23.15"/>
    <d v="2023-11-19T00:00:00"/>
    <d v="2023-11-21T00:00:00"/>
    <s v="Cameron"/>
    <x v="15"/>
    <x v="12"/>
  </r>
  <r>
    <d v="2024-04-11T00:00:00"/>
    <x v="1"/>
    <x v="1"/>
    <n v="17"/>
    <n v="311.61"/>
    <s v="Store A"/>
    <s v="Retail"/>
    <n v="0.05"/>
    <x v="0"/>
    <n v="5032.5014999999994"/>
    <s v="Online"/>
    <m/>
    <n v="1"/>
    <s v="REG101364"/>
    <s v="Cust 9371"/>
    <n v="29.9"/>
    <d v="2024-04-11T00:00:00"/>
    <d v="2024-04-17T00:00:00"/>
    <s v="Sophie"/>
    <x v="9"/>
    <x v="7"/>
  </r>
  <r>
    <d v="2024-03-30T00:00:00"/>
    <x v="1"/>
    <x v="4"/>
    <n v="2"/>
    <n v="441.18"/>
    <s v="Store B"/>
    <s v="Retail"/>
    <n v="0.15"/>
    <x v="5"/>
    <n v="750.00599999999997"/>
    <s v="Cash"/>
    <m/>
    <n v="1"/>
    <s v="REG101365"/>
    <s v="Cust 9881"/>
    <n v="23.07"/>
    <d v="2024-03-30T00:00:00"/>
    <d v="2024-04-06T00:00:00"/>
    <s v="Sophie"/>
    <x v="25"/>
    <x v="7"/>
  </r>
  <r>
    <d v="2024-11-25T00:00:00"/>
    <x v="2"/>
    <x v="3"/>
    <n v="20"/>
    <n v="286.66000000000003"/>
    <s v="Store D"/>
    <s v="Retail"/>
    <n v="0.1"/>
    <x v="3"/>
    <n v="5159.880000000001"/>
    <s v="Debit Card"/>
    <s v="WINTER15"/>
    <n v="0"/>
    <s v="REG101366"/>
    <s v="Cust 2153"/>
    <n v="15.54"/>
    <d v="2024-11-25T00:00:00"/>
    <d v="2024-11-29T00:00:00"/>
    <s v="Ryan"/>
    <x v="20"/>
    <x v="1"/>
  </r>
  <r>
    <d v="2025-01-06T00:00:00"/>
    <x v="2"/>
    <x v="6"/>
    <n v="13"/>
    <n v="483.63"/>
    <s v="Store A"/>
    <s v="Retail"/>
    <n v="0.05"/>
    <x v="3"/>
    <n v="5972.8304999999991"/>
    <s v="Cash"/>
    <s v="FREESHIP"/>
    <n v="0"/>
    <s v="REG101367"/>
    <s v="Cust 9189"/>
    <n v="18.22"/>
    <d v="2025-01-06T00:00:00"/>
    <d v="2025-01-15T00:00:00"/>
    <s v="Ryan"/>
    <x v="12"/>
    <x v="3"/>
  </r>
  <r>
    <d v="2023-04-15T00:00:00"/>
    <x v="4"/>
    <x v="5"/>
    <n v="8"/>
    <n v="304.14999999999998"/>
    <s v="Store B"/>
    <s v="Wholesale"/>
    <n v="0.05"/>
    <x v="3"/>
    <n v="2311.54"/>
    <s v="Debit Card"/>
    <m/>
    <n v="0"/>
    <s v="REG101368"/>
    <s v="Cust 8802"/>
    <n v="41.73"/>
    <d v="2023-04-15T00:00:00"/>
    <d v="2023-04-18T00:00:00"/>
    <s v="Wendy"/>
    <x v="21"/>
    <x v="13"/>
  </r>
  <r>
    <d v="2024-02-07T00:00:00"/>
    <x v="0"/>
    <x v="6"/>
    <n v="10"/>
    <n v="452.21"/>
    <s v="Store A"/>
    <s v="Retail"/>
    <n v="0.1"/>
    <x v="0"/>
    <n v="4069.889999999999"/>
    <s v="Cash"/>
    <s v="WINTER15"/>
    <n v="0"/>
    <s v="REG101369"/>
    <s v="Cust 8707"/>
    <n v="15.87"/>
    <d v="2024-02-07T00:00:00"/>
    <d v="2024-02-17T00:00:00"/>
    <s v="Eric"/>
    <x v="5"/>
    <x v="4"/>
  </r>
  <r>
    <d v="2023-06-02T00:00:00"/>
    <x v="0"/>
    <x v="6"/>
    <n v="4"/>
    <n v="248.16"/>
    <s v="Store B"/>
    <s v="Retail"/>
    <n v="0.1"/>
    <x v="4"/>
    <n v="893.37599999999998"/>
    <s v="Credit Card"/>
    <m/>
    <n v="1"/>
    <s v="REG101370"/>
    <s v="Cust 5638"/>
    <n v="45.11"/>
    <d v="2023-06-02T00:00:00"/>
    <d v="2023-06-05T00:00:00"/>
    <s v="Eric"/>
    <x v="4"/>
    <x v="2"/>
  </r>
  <r>
    <d v="2023-08-24T00:00:00"/>
    <x v="0"/>
    <x v="0"/>
    <n v="4"/>
    <n v="520"/>
    <s v="Store A"/>
    <s v="Retail"/>
    <n v="0"/>
    <x v="0"/>
    <n v="2080"/>
    <s v="Credit Card"/>
    <s v="WINTER15"/>
    <n v="0"/>
    <s v="REG101371"/>
    <s v="Cust 6036"/>
    <n v="18.25"/>
    <d v="2023-08-24T00:00:00"/>
    <d v="2023-09-02T00:00:00"/>
    <s v="Eric"/>
    <x v="18"/>
    <x v="9"/>
  </r>
  <r>
    <d v="2024-12-06T00:00:00"/>
    <x v="1"/>
    <x v="3"/>
    <n v="11"/>
    <n v="571.07000000000005"/>
    <s v="Store A"/>
    <s v="Retail"/>
    <n v="0"/>
    <x v="2"/>
    <n v="6281.77"/>
    <s v="Gift Card"/>
    <s v="SAVE10"/>
    <n v="0"/>
    <s v="REG101372"/>
    <s v="Cust 5504"/>
    <n v="12.6"/>
    <d v="2024-12-06T00:00:00"/>
    <d v="2024-12-11T00:00:00"/>
    <s v="Sophie"/>
    <x v="1"/>
    <x v="1"/>
  </r>
  <r>
    <d v="2023-12-08T00:00:00"/>
    <x v="0"/>
    <x v="5"/>
    <n v="11"/>
    <n v="65.569999999999993"/>
    <s v="Store D"/>
    <s v="Retail"/>
    <n v="0.1"/>
    <x v="4"/>
    <n v="649.14300000000003"/>
    <s v="Debit Card"/>
    <s v="SAVE10"/>
    <n v="1"/>
    <s v="REG101373"/>
    <s v="Cust 1161"/>
    <n v="30.43"/>
    <d v="2023-12-08T00:00:00"/>
    <d v="2023-12-14T00:00:00"/>
    <s v="Eric"/>
    <x v="27"/>
    <x v="12"/>
  </r>
  <r>
    <d v="2023-05-12T00:00:00"/>
    <x v="1"/>
    <x v="5"/>
    <n v="4"/>
    <n v="397.02"/>
    <s v="Store A"/>
    <s v="Wholesale"/>
    <n v="0"/>
    <x v="2"/>
    <n v="1588.08"/>
    <s v="Cash"/>
    <s v="FREESHIP"/>
    <n v="0"/>
    <s v="REG101374"/>
    <s v="Cust 5420"/>
    <n v="23.25"/>
    <d v="2023-05-12T00:00:00"/>
    <d v="2023-05-20T00:00:00"/>
    <s v="Sophie"/>
    <x v="2"/>
    <x v="2"/>
  </r>
  <r>
    <d v="2025-04-24T00:00:00"/>
    <x v="4"/>
    <x v="0"/>
    <n v="10"/>
    <n v="169.35"/>
    <s v="Store B"/>
    <s v="Retail"/>
    <n v="0.05"/>
    <x v="1"/>
    <n v="1608.825"/>
    <s v="Credit Card"/>
    <s v="WINTER15"/>
    <n v="0"/>
    <s v="REG101375"/>
    <s v="Cust 7745"/>
    <n v="44.91"/>
    <d v="2025-04-24T00:00:00"/>
    <d v="2025-04-27T00:00:00"/>
    <s v="Wendy"/>
    <x v="28"/>
    <x v="6"/>
  </r>
  <r>
    <d v="2023-04-23T00:00:00"/>
    <x v="3"/>
    <x v="5"/>
    <n v="9"/>
    <n v="340.44"/>
    <s v="Store D"/>
    <s v="Retail"/>
    <n v="0.05"/>
    <x v="3"/>
    <n v="2910.7620000000002"/>
    <s v="Debit Card"/>
    <s v="FREESHIP"/>
    <n v="1"/>
    <s v="REG101376"/>
    <s v="Cust 4365"/>
    <n v="36.68"/>
    <d v="2023-04-23T00:00:00"/>
    <d v="2023-05-03T00:00:00"/>
    <s v="Cameron"/>
    <x v="21"/>
    <x v="13"/>
  </r>
  <r>
    <d v="2023-01-18T00:00:00"/>
    <x v="2"/>
    <x v="4"/>
    <n v="1"/>
    <n v="120.2"/>
    <s v="Store D"/>
    <s v="Retail"/>
    <n v="0.05"/>
    <x v="3"/>
    <n v="114.19"/>
    <s v="Online"/>
    <s v="WINTER15"/>
    <n v="0"/>
    <s v="REG101377"/>
    <s v="Cust 3291"/>
    <n v="44.99"/>
    <d v="2023-01-18T00:00:00"/>
    <d v="2023-01-21T00:00:00"/>
    <s v="Ryan"/>
    <x v="6"/>
    <x v="0"/>
  </r>
  <r>
    <d v="2025-05-11T00:00:00"/>
    <x v="2"/>
    <x v="1"/>
    <n v="13"/>
    <n v="169.39"/>
    <s v="Store B"/>
    <s v="Wholesale"/>
    <n v="0.15"/>
    <x v="4"/>
    <n v="1871.7594999999999"/>
    <s v="Credit Card"/>
    <m/>
    <n v="0"/>
    <s v="REG101378"/>
    <s v="Cust 9020"/>
    <n v="6.81"/>
    <d v="2025-05-11T00:00:00"/>
    <d v="2025-05-21T00:00:00"/>
    <s v="Ryan"/>
    <x v="13"/>
    <x v="10"/>
  </r>
  <r>
    <d v="2024-12-23T00:00:00"/>
    <x v="4"/>
    <x v="5"/>
    <n v="10"/>
    <n v="170.72"/>
    <s v="Store A"/>
    <s v="Wholesale"/>
    <n v="0.05"/>
    <x v="2"/>
    <n v="1621.84"/>
    <s v="Online"/>
    <s v="FREESHIP"/>
    <n v="0"/>
    <s v="REG101379"/>
    <s v="Cust 2667"/>
    <n v="29.18"/>
    <d v="2024-12-23T00:00:00"/>
    <d v="2025-01-02T00:00:00"/>
    <s v="Wendy"/>
    <x v="1"/>
    <x v="1"/>
  </r>
  <r>
    <d v="2023-08-20T00:00:00"/>
    <x v="4"/>
    <x v="2"/>
    <n v="9"/>
    <n v="323.77"/>
    <s v="Store A"/>
    <s v="Wholesale"/>
    <n v="0.15"/>
    <x v="3"/>
    <n v="2476.8404999999998"/>
    <s v="Debit Card"/>
    <m/>
    <n v="0"/>
    <s v="REG101380"/>
    <s v="Cust 6158"/>
    <n v="6.36"/>
    <d v="2023-08-20T00:00:00"/>
    <d v="2023-08-28T00:00:00"/>
    <s v="Wendy"/>
    <x v="18"/>
    <x v="9"/>
  </r>
  <r>
    <d v="2025-03-18T00:00:00"/>
    <x v="3"/>
    <x v="3"/>
    <n v="4"/>
    <n v="481.86"/>
    <s v="Store B"/>
    <s v="Wholesale"/>
    <n v="0"/>
    <x v="5"/>
    <n v="1927.44"/>
    <s v="Online"/>
    <s v="FREESHIP"/>
    <n v="0"/>
    <s v="REG101381"/>
    <s v="Cust 7404"/>
    <n v="21.92"/>
    <d v="2025-03-18T00:00:00"/>
    <d v="2025-03-23T00:00:00"/>
    <s v="Cameron"/>
    <x v="8"/>
    <x v="6"/>
  </r>
  <r>
    <d v="2024-01-16T00:00:00"/>
    <x v="3"/>
    <x v="1"/>
    <n v="4"/>
    <n v="78.05"/>
    <s v="Store A"/>
    <s v="Retail"/>
    <n v="0"/>
    <x v="3"/>
    <n v="312.2"/>
    <s v="Credit Card"/>
    <m/>
    <n v="0"/>
    <s v="REG101382"/>
    <s v="Cust 8572"/>
    <n v="14.03"/>
    <d v="2024-01-16T00:00:00"/>
    <d v="2024-01-24T00:00:00"/>
    <s v="Cameron"/>
    <x v="24"/>
    <x v="4"/>
  </r>
  <r>
    <d v="2024-05-29T00:00:00"/>
    <x v="0"/>
    <x v="5"/>
    <n v="6"/>
    <n v="57.4"/>
    <s v="Store C"/>
    <s v="Wholesale"/>
    <n v="0.1"/>
    <x v="0"/>
    <n v="309.95999999999998"/>
    <s v="Debit Card"/>
    <s v="FREESHIP"/>
    <n v="0"/>
    <s v="REG101383"/>
    <s v="Cust 1043"/>
    <n v="26.42"/>
    <d v="2024-05-29T00:00:00"/>
    <d v="2024-06-08T00:00:00"/>
    <s v="Eric"/>
    <x v="14"/>
    <x v="11"/>
  </r>
  <r>
    <d v="2025-03-25T00:00:00"/>
    <x v="1"/>
    <x v="0"/>
    <n v="9"/>
    <n v="454.98"/>
    <s v="Store B"/>
    <s v="Wholesale"/>
    <n v="0.15"/>
    <x v="0"/>
    <n v="3480.5970000000002"/>
    <s v="Credit Card"/>
    <m/>
    <n v="0"/>
    <s v="REG101384"/>
    <s v="Cust 1766"/>
    <n v="40.76"/>
    <d v="2025-03-25T00:00:00"/>
    <d v="2025-03-27T00:00:00"/>
    <s v="Sophie"/>
    <x v="8"/>
    <x v="6"/>
  </r>
  <r>
    <d v="2025-03-22T00:00:00"/>
    <x v="3"/>
    <x v="2"/>
    <n v="11"/>
    <n v="365.75"/>
    <s v="Store D"/>
    <s v="Wholesale"/>
    <n v="0.05"/>
    <x v="5"/>
    <n v="3822.0875000000001"/>
    <s v="Debit Card"/>
    <s v="FREESHIP"/>
    <n v="1"/>
    <s v="REG101385"/>
    <s v="Cust 4461"/>
    <n v="8.3699999999999992"/>
    <d v="2025-03-22T00:00:00"/>
    <d v="2025-03-27T00:00:00"/>
    <s v="Cameron"/>
    <x v="8"/>
    <x v="6"/>
  </r>
  <r>
    <d v="2024-08-17T00:00:00"/>
    <x v="0"/>
    <x v="1"/>
    <n v="7"/>
    <n v="106.88"/>
    <s v="Store C"/>
    <s v="Retail"/>
    <n v="0.05"/>
    <x v="4"/>
    <n v="710.75199999999995"/>
    <s v="Cash"/>
    <s v="WINTER15"/>
    <n v="1"/>
    <s v="REG101386"/>
    <s v="Cust 4390"/>
    <n v="26.12"/>
    <d v="2024-08-17T00:00:00"/>
    <d v="2024-08-24T00:00:00"/>
    <s v="Eric"/>
    <x v="29"/>
    <x v="8"/>
  </r>
  <r>
    <d v="2024-06-02T00:00:00"/>
    <x v="1"/>
    <x v="6"/>
    <n v="2"/>
    <n v="250.98"/>
    <s v="Store B"/>
    <s v="Wholesale"/>
    <n v="0.1"/>
    <x v="0"/>
    <n v="451.76400000000001"/>
    <s v="Online"/>
    <s v="WINTER15"/>
    <n v="0"/>
    <s v="REG101387"/>
    <s v="Cust 9451"/>
    <n v="18.8"/>
    <d v="2024-06-02T00:00:00"/>
    <d v="2024-06-12T00:00:00"/>
    <s v="Sophie"/>
    <x v="23"/>
    <x v="11"/>
  </r>
  <r>
    <d v="2023-03-31T00:00:00"/>
    <x v="1"/>
    <x v="4"/>
    <n v="8"/>
    <n v="591.29"/>
    <s v="Store C"/>
    <s v="Retail"/>
    <n v="0.1"/>
    <x v="4"/>
    <n v="4257.2879999999996"/>
    <s v="Credit Card"/>
    <m/>
    <n v="1"/>
    <s v="REG101388"/>
    <s v="Cust 5335"/>
    <n v="45.14"/>
    <d v="2023-03-31T00:00:00"/>
    <d v="2023-04-10T00:00:00"/>
    <s v="Sophie"/>
    <x v="17"/>
    <x v="13"/>
  </r>
  <r>
    <d v="2024-05-19T00:00:00"/>
    <x v="4"/>
    <x v="4"/>
    <n v="18"/>
    <n v="369.79"/>
    <s v="Store A"/>
    <s v="Wholesale"/>
    <n v="0.05"/>
    <x v="0"/>
    <n v="6323.4089999999997"/>
    <s v="Cash"/>
    <s v="FREESHIP"/>
    <n v="1"/>
    <s v="REG101389"/>
    <s v="Cust 3487"/>
    <n v="16.399999999999999"/>
    <d v="2024-05-19T00:00:00"/>
    <d v="2024-05-23T00:00:00"/>
    <s v="Wendy"/>
    <x v="14"/>
    <x v="11"/>
  </r>
  <r>
    <d v="2023-03-02T00:00:00"/>
    <x v="4"/>
    <x v="2"/>
    <n v="15"/>
    <n v="166.24"/>
    <s v="Store D"/>
    <s v="Wholesale"/>
    <n v="0.1"/>
    <x v="4"/>
    <n v="2244.2399999999998"/>
    <s v="Debit Card"/>
    <s v="SAVE10"/>
    <n v="0"/>
    <s v="REG101390"/>
    <s v="Cust 7613"/>
    <n v="9.86"/>
    <d v="2023-03-02T00:00:00"/>
    <d v="2023-03-05T00:00:00"/>
    <s v="Wendy"/>
    <x v="17"/>
    <x v="0"/>
  </r>
  <r>
    <d v="2023-03-13T00:00:00"/>
    <x v="2"/>
    <x v="6"/>
    <n v="12"/>
    <n v="260.76"/>
    <s v="Store C"/>
    <s v="Wholesale"/>
    <n v="0.15"/>
    <x v="3"/>
    <n v="2659.752"/>
    <s v="Online"/>
    <m/>
    <n v="0"/>
    <s v="REG101391"/>
    <s v="Cust 9436"/>
    <n v="20.92"/>
    <d v="2023-03-13T00:00:00"/>
    <d v="2023-03-22T00:00:00"/>
    <s v="Ryan"/>
    <x v="17"/>
    <x v="13"/>
  </r>
  <r>
    <d v="2025-04-16T00:00:00"/>
    <x v="4"/>
    <x v="0"/>
    <n v="10"/>
    <n v="348.63"/>
    <s v="Store D"/>
    <s v="Wholesale"/>
    <n v="0.05"/>
    <x v="4"/>
    <n v="3311.9850000000001"/>
    <s v="Credit Card"/>
    <m/>
    <n v="1"/>
    <s v="REG101392"/>
    <s v="Cust 2197"/>
    <n v="42.79"/>
    <d v="2025-04-16T00:00:00"/>
    <d v="2025-04-18T00:00:00"/>
    <s v="Wendy"/>
    <x v="28"/>
    <x v="6"/>
  </r>
  <r>
    <d v="2024-06-05T00:00:00"/>
    <x v="2"/>
    <x v="3"/>
    <n v="5"/>
    <n v="473.28"/>
    <s v="Store A"/>
    <s v="Retail"/>
    <n v="0"/>
    <x v="4"/>
    <n v="2366.4"/>
    <s v="Credit Card"/>
    <s v="SAVE10"/>
    <n v="1"/>
    <s v="REG101393"/>
    <s v="Cust 5620"/>
    <n v="30.69"/>
    <d v="2024-06-05T00:00:00"/>
    <d v="2024-06-15T00:00:00"/>
    <s v="Ryan"/>
    <x v="23"/>
    <x v="11"/>
  </r>
  <r>
    <d v="2024-09-01T00:00:00"/>
    <x v="2"/>
    <x v="3"/>
    <n v="16"/>
    <n v="401.83"/>
    <s v="Store B"/>
    <s v="Retail"/>
    <n v="0"/>
    <x v="0"/>
    <n v="6429.28"/>
    <s v="Cash"/>
    <s v="FREESHIP"/>
    <n v="0"/>
    <s v="REG101394"/>
    <s v="Cust 4101"/>
    <n v="21.54"/>
    <d v="2024-09-01T00:00:00"/>
    <d v="2024-09-05T00:00:00"/>
    <s v="Ryan"/>
    <x v="26"/>
    <x v="5"/>
  </r>
  <r>
    <d v="2024-09-21T00:00:00"/>
    <x v="2"/>
    <x v="1"/>
    <n v="10"/>
    <n v="269.29000000000002"/>
    <s v="Store C"/>
    <s v="Retail"/>
    <n v="0"/>
    <x v="0"/>
    <n v="2692.9"/>
    <s v="Debit Card"/>
    <s v="SAVE10"/>
    <n v="0"/>
    <s v="REG101395"/>
    <s v="Cust 8828"/>
    <n v="14.09"/>
    <d v="2024-09-21T00:00:00"/>
    <d v="2024-09-30T00:00:00"/>
    <s v="Ryan"/>
    <x v="26"/>
    <x v="5"/>
  </r>
  <r>
    <d v="2025-01-11T00:00:00"/>
    <x v="2"/>
    <x v="2"/>
    <n v="4"/>
    <n v="323.02"/>
    <s v="Store C"/>
    <s v="Retail"/>
    <n v="0.05"/>
    <x v="4"/>
    <n v="1227.4760000000001"/>
    <s v="Cash"/>
    <m/>
    <n v="0"/>
    <s v="REG101396"/>
    <s v="Cust 3187"/>
    <n v="19.53"/>
    <d v="2025-01-11T00:00:00"/>
    <d v="2025-01-16T00:00:00"/>
    <s v="Ryan"/>
    <x v="12"/>
    <x v="3"/>
  </r>
  <r>
    <d v="2023-01-04T00:00:00"/>
    <x v="4"/>
    <x v="4"/>
    <n v="15"/>
    <n v="439.89"/>
    <s v="Store D"/>
    <s v="Retail"/>
    <n v="0.15"/>
    <x v="4"/>
    <n v="5608.5974999999989"/>
    <s v="Online"/>
    <s v="FREESHIP"/>
    <n v="0"/>
    <s v="REG101397"/>
    <s v="Cust 1081"/>
    <n v="49.71"/>
    <d v="2023-01-04T00:00:00"/>
    <d v="2023-01-08T00:00:00"/>
    <s v="Wendy"/>
    <x v="6"/>
    <x v="0"/>
  </r>
  <r>
    <d v="2023-05-02T00:00:00"/>
    <x v="4"/>
    <x v="4"/>
    <n v="16"/>
    <n v="483.09"/>
    <s v="Store C"/>
    <s v="Wholesale"/>
    <n v="0.05"/>
    <x v="1"/>
    <n v="7342.9679999999989"/>
    <s v="Debit Card"/>
    <m/>
    <n v="1"/>
    <s v="REG101398"/>
    <s v="Cust 5049"/>
    <n v="37.659999999999997"/>
    <d v="2023-05-02T00:00:00"/>
    <d v="2023-05-05T00:00:00"/>
    <s v="Wendy"/>
    <x v="2"/>
    <x v="13"/>
  </r>
  <r>
    <d v="2023-07-09T00:00:00"/>
    <x v="0"/>
    <x v="1"/>
    <n v="13"/>
    <n v="27.39"/>
    <s v="Store B"/>
    <s v="Retail"/>
    <n v="0.15"/>
    <x v="2"/>
    <n v="302.65949999999998"/>
    <s v="Cash"/>
    <m/>
    <n v="0"/>
    <s v="REG101399"/>
    <s v="Cust 5409"/>
    <n v="22.95"/>
    <d v="2023-07-09T00:00:00"/>
    <d v="2023-07-14T00:00:00"/>
    <s v="Eric"/>
    <x v="11"/>
    <x v="9"/>
  </r>
  <r>
    <d v="2025-02-27T00:00:00"/>
    <x v="0"/>
    <x v="4"/>
    <n v="18"/>
    <n v="432.52"/>
    <s v="Store D"/>
    <s v="Retail"/>
    <n v="0.05"/>
    <x v="5"/>
    <n v="7396.0919999999996"/>
    <s v="Credit Card"/>
    <s v="SAVE10"/>
    <n v="1"/>
    <s v="REG101400"/>
    <s v="Cust 2372"/>
    <n v="34.19"/>
    <d v="2025-02-27T00:00:00"/>
    <d v="2025-03-04T00:00:00"/>
    <s v="Eric"/>
    <x v="3"/>
    <x v="3"/>
  </r>
  <r>
    <d v="2024-09-23T00:00:00"/>
    <x v="4"/>
    <x v="6"/>
    <n v="3"/>
    <n v="360.93"/>
    <s v="Store B"/>
    <s v="Wholesale"/>
    <n v="0.15"/>
    <x v="4"/>
    <n v="920.37149999999997"/>
    <s v="Debit Card"/>
    <s v="WINTER15"/>
    <n v="0"/>
    <s v="REG101401"/>
    <s v="Cust 2741"/>
    <n v="35.61"/>
    <d v="2024-09-23T00:00:00"/>
    <d v="2024-09-29T00:00:00"/>
    <s v="Wendy"/>
    <x v="26"/>
    <x v="5"/>
  </r>
  <r>
    <d v="2025-06-22T00:00:00"/>
    <x v="0"/>
    <x v="5"/>
    <n v="5"/>
    <n v="414.58"/>
    <s v="Store B"/>
    <s v="Retail"/>
    <n v="0.1"/>
    <x v="4"/>
    <n v="1865.61"/>
    <s v="Gift Card"/>
    <m/>
    <n v="0"/>
    <s v="REG101402"/>
    <s v="Cust 2571"/>
    <n v="14.98"/>
    <d v="2025-06-22T00:00:00"/>
    <d v="2025-07-01T00:00:00"/>
    <s v="Eric"/>
    <x v="16"/>
    <x v="10"/>
  </r>
  <r>
    <d v="2025-01-19T00:00:00"/>
    <x v="3"/>
    <x v="5"/>
    <n v="4"/>
    <n v="68.040000000000006"/>
    <s v="Store C"/>
    <s v="Wholesale"/>
    <n v="0"/>
    <x v="5"/>
    <n v="272.16000000000003"/>
    <s v="Online"/>
    <s v="FREESHIP"/>
    <n v="0"/>
    <s v="REG101403"/>
    <s v="Cust 6301"/>
    <n v="18.72"/>
    <d v="2025-01-19T00:00:00"/>
    <d v="2025-01-28T00:00:00"/>
    <s v="Cameron"/>
    <x v="12"/>
    <x v="3"/>
  </r>
  <r>
    <d v="2025-02-03T00:00:00"/>
    <x v="0"/>
    <x v="1"/>
    <n v="10"/>
    <n v="407.99"/>
    <s v="Store C"/>
    <s v="Retail"/>
    <n v="0.15"/>
    <x v="0"/>
    <n v="3467.915"/>
    <s v="Cash"/>
    <m/>
    <n v="0"/>
    <s v="REG101404"/>
    <s v="Cust 7918"/>
    <n v="49.59"/>
    <d v="2025-02-03T00:00:00"/>
    <d v="2025-02-08T00:00:00"/>
    <s v="Eric"/>
    <x v="3"/>
    <x v="3"/>
  </r>
  <r>
    <d v="2023-11-11T00:00:00"/>
    <x v="0"/>
    <x v="5"/>
    <n v="15"/>
    <n v="274.77"/>
    <s v="Store D"/>
    <s v="Retail"/>
    <n v="0"/>
    <x v="0"/>
    <n v="4121.5499999999993"/>
    <s v="Cash"/>
    <m/>
    <n v="1"/>
    <s v="REG101405"/>
    <s v="Cust 3456"/>
    <n v="19.37"/>
    <d v="2023-11-11T00:00:00"/>
    <d v="2023-11-17T00:00:00"/>
    <s v="Eric"/>
    <x v="15"/>
    <x v="12"/>
  </r>
  <r>
    <d v="2024-05-08T00:00:00"/>
    <x v="0"/>
    <x v="2"/>
    <n v="15"/>
    <n v="31.81"/>
    <s v="Store C"/>
    <s v="Wholesale"/>
    <n v="0.15"/>
    <x v="0"/>
    <n v="405.57749999999999"/>
    <s v="Cash"/>
    <s v="SAVE10"/>
    <n v="0"/>
    <s v="REG101406"/>
    <s v="Cust 8272"/>
    <n v="23.61"/>
    <d v="2024-05-08T00:00:00"/>
    <d v="2024-05-10T00:00:00"/>
    <s v="Eric"/>
    <x v="14"/>
    <x v="11"/>
  </r>
  <r>
    <d v="2023-09-18T00:00:00"/>
    <x v="1"/>
    <x v="6"/>
    <n v="14"/>
    <n v="268.32"/>
    <s v="Store D"/>
    <s v="Retail"/>
    <n v="0"/>
    <x v="2"/>
    <n v="3756.48"/>
    <s v="Online"/>
    <s v="WINTER15"/>
    <n v="0"/>
    <s v="REG101407"/>
    <s v="Cust 7302"/>
    <n v="43.14"/>
    <d v="2023-09-18T00:00:00"/>
    <d v="2023-09-27T00:00:00"/>
    <s v="Sophie"/>
    <x v="22"/>
    <x v="14"/>
  </r>
  <r>
    <d v="2025-04-05T00:00:00"/>
    <x v="3"/>
    <x v="5"/>
    <n v="19"/>
    <n v="350.12"/>
    <s v="Store D"/>
    <s v="Retail"/>
    <n v="0.05"/>
    <x v="1"/>
    <n v="6319.6659999999993"/>
    <s v="Credit Card"/>
    <s v="FREESHIP"/>
    <n v="0"/>
    <s v="REG101408"/>
    <s v="Cust 6716"/>
    <n v="48.98"/>
    <d v="2025-04-05T00:00:00"/>
    <d v="2025-04-13T00:00:00"/>
    <s v="Cameron"/>
    <x v="28"/>
    <x v="6"/>
  </r>
  <r>
    <d v="2023-09-13T00:00:00"/>
    <x v="3"/>
    <x v="2"/>
    <n v="9"/>
    <n v="329.15"/>
    <s v="Store A"/>
    <s v="Retail"/>
    <n v="0.05"/>
    <x v="4"/>
    <n v="2814.2325000000001"/>
    <s v="Gift Card"/>
    <s v="FREESHIP"/>
    <n v="0"/>
    <s v="REG101409"/>
    <s v="Cust 5484"/>
    <n v="29.41"/>
    <d v="2023-09-13T00:00:00"/>
    <d v="2023-09-15T00:00:00"/>
    <s v="Cameron"/>
    <x v="22"/>
    <x v="14"/>
  </r>
  <r>
    <d v="2024-06-28T00:00:00"/>
    <x v="0"/>
    <x v="4"/>
    <n v="1"/>
    <n v="577.07000000000005"/>
    <s v="Store C"/>
    <s v="Wholesale"/>
    <n v="0.05"/>
    <x v="2"/>
    <n v="548.2165"/>
    <s v="Online"/>
    <s v="WINTER15"/>
    <n v="0"/>
    <s v="REG101410"/>
    <s v="Cust 4652"/>
    <n v="22.97"/>
    <d v="2024-06-28T00:00:00"/>
    <d v="2024-07-06T00:00:00"/>
    <s v="Eric"/>
    <x v="23"/>
    <x v="11"/>
  </r>
  <r>
    <d v="2023-04-06T00:00:00"/>
    <x v="3"/>
    <x v="3"/>
    <n v="6"/>
    <n v="544.33000000000004"/>
    <s v="Store B"/>
    <s v="Wholesale"/>
    <n v="0.1"/>
    <x v="3"/>
    <n v="2939.382000000001"/>
    <s v="Cash"/>
    <m/>
    <n v="0"/>
    <s v="REG101411"/>
    <s v="Cust 1222"/>
    <n v="11.52"/>
    <d v="2023-04-06T00:00:00"/>
    <d v="2023-04-08T00:00:00"/>
    <s v="Cameron"/>
    <x v="21"/>
    <x v="13"/>
  </r>
  <r>
    <d v="2023-05-13T00:00:00"/>
    <x v="1"/>
    <x v="0"/>
    <n v="18"/>
    <n v="331.45"/>
    <s v="Store D"/>
    <s v="Retail"/>
    <n v="0.15"/>
    <x v="1"/>
    <n v="5071.1849999999986"/>
    <s v="Cash"/>
    <s v="WINTER15"/>
    <n v="1"/>
    <s v="REG101412"/>
    <s v="Cust 3559"/>
    <n v="32.92"/>
    <d v="2023-05-13T00:00:00"/>
    <d v="2023-05-18T00:00:00"/>
    <s v="Sophie"/>
    <x v="2"/>
    <x v="2"/>
  </r>
  <r>
    <d v="2025-05-07T00:00:00"/>
    <x v="0"/>
    <x v="0"/>
    <n v="1"/>
    <n v="421.26"/>
    <s v="Store D"/>
    <s v="Retail"/>
    <n v="0.1"/>
    <x v="0"/>
    <n v="379.13400000000001"/>
    <s v="Debit Card"/>
    <s v="FREESHIP"/>
    <n v="0"/>
    <s v="REG101413"/>
    <s v="Cust 1287"/>
    <n v="36.340000000000003"/>
    <d v="2025-05-07T00:00:00"/>
    <d v="2025-05-15T00:00:00"/>
    <s v="Eric"/>
    <x v="13"/>
    <x v="10"/>
  </r>
  <r>
    <d v="2025-03-22T00:00:00"/>
    <x v="2"/>
    <x v="5"/>
    <n v="4"/>
    <n v="555.02"/>
    <s v="Store B"/>
    <s v="Retail"/>
    <n v="0.1"/>
    <x v="4"/>
    <n v="1998.0719999999999"/>
    <s v="Cash"/>
    <s v="SAVE10"/>
    <n v="0"/>
    <s v="REG101414"/>
    <s v="Cust 5444"/>
    <n v="45.25"/>
    <d v="2025-03-22T00:00:00"/>
    <d v="2025-03-27T00:00:00"/>
    <s v="Ryan"/>
    <x v="8"/>
    <x v="6"/>
  </r>
  <r>
    <d v="2024-06-24T00:00:00"/>
    <x v="1"/>
    <x v="0"/>
    <n v="19"/>
    <n v="254.03"/>
    <s v="Store C"/>
    <s v="Wholesale"/>
    <n v="0"/>
    <x v="2"/>
    <n v="4826.57"/>
    <s v="Online"/>
    <s v="SAVE10"/>
    <n v="1"/>
    <s v="REG101415"/>
    <s v="Cust 4018"/>
    <n v="11.21"/>
    <d v="2024-06-24T00:00:00"/>
    <d v="2024-07-02T00:00:00"/>
    <s v="Sophie"/>
    <x v="23"/>
    <x v="11"/>
  </r>
  <r>
    <d v="2025-06-29T00:00:00"/>
    <x v="4"/>
    <x v="5"/>
    <n v="9"/>
    <n v="533.92999999999995"/>
    <s v="Store D"/>
    <s v="Retail"/>
    <n v="0.15"/>
    <x v="2"/>
    <n v="4084.5645"/>
    <s v="Gift Card"/>
    <m/>
    <n v="0"/>
    <s v="REG101416"/>
    <s v="Cust 6355"/>
    <n v="34.76"/>
    <d v="2025-06-29T00:00:00"/>
    <d v="2025-07-03T00:00:00"/>
    <s v="Wendy"/>
    <x v="16"/>
    <x v="10"/>
  </r>
  <r>
    <d v="2024-04-01T00:00:00"/>
    <x v="4"/>
    <x v="2"/>
    <n v="7"/>
    <n v="241.35"/>
    <s v="Store B"/>
    <s v="Wholesale"/>
    <n v="0.1"/>
    <x v="4"/>
    <n v="1520.5050000000001"/>
    <s v="Credit Card"/>
    <s v="SAVE10"/>
    <n v="0"/>
    <s v="REG101417"/>
    <s v="Cust 6620"/>
    <n v="42.43"/>
    <d v="2024-04-01T00:00:00"/>
    <d v="2024-04-10T00:00:00"/>
    <s v="Wendy"/>
    <x v="9"/>
    <x v="7"/>
  </r>
  <r>
    <d v="2024-06-04T00:00:00"/>
    <x v="2"/>
    <x v="5"/>
    <n v="11"/>
    <n v="160.37"/>
    <s v="Store B"/>
    <s v="Wholesale"/>
    <n v="0.05"/>
    <x v="3"/>
    <n v="1675.8665000000001"/>
    <s v="Cash"/>
    <m/>
    <n v="0"/>
    <s v="REG101418"/>
    <s v="Cust 4092"/>
    <n v="36.049999999999997"/>
    <d v="2024-06-04T00:00:00"/>
    <d v="2024-06-14T00:00:00"/>
    <s v="Ryan"/>
    <x v="23"/>
    <x v="11"/>
  </r>
  <r>
    <d v="2023-03-30T00:00:00"/>
    <x v="0"/>
    <x v="5"/>
    <n v="1"/>
    <n v="419.1"/>
    <s v="Store B"/>
    <s v="Wholesale"/>
    <n v="0.1"/>
    <x v="3"/>
    <n v="377.19000000000011"/>
    <s v="Gift Card"/>
    <s v="SAVE10"/>
    <n v="1"/>
    <s v="REG101419"/>
    <s v="Cust 4812"/>
    <n v="38.81"/>
    <d v="2023-03-30T00:00:00"/>
    <d v="2023-04-06T00:00:00"/>
    <s v="Eric"/>
    <x v="17"/>
    <x v="13"/>
  </r>
  <r>
    <d v="2025-03-26T00:00:00"/>
    <x v="0"/>
    <x v="0"/>
    <n v="13"/>
    <n v="138.72"/>
    <s v="Store D"/>
    <s v="Wholesale"/>
    <n v="0.15"/>
    <x v="3"/>
    <n v="1532.856"/>
    <s v="Cash"/>
    <s v="WINTER15"/>
    <n v="1"/>
    <s v="REG101420"/>
    <s v="Cust 8389"/>
    <n v="17.89"/>
    <d v="2025-03-26T00:00:00"/>
    <d v="2025-03-28T00:00:00"/>
    <s v="Eric"/>
    <x v="8"/>
    <x v="6"/>
  </r>
  <r>
    <d v="2023-08-22T00:00:00"/>
    <x v="4"/>
    <x v="4"/>
    <n v="8"/>
    <n v="461.04"/>
    <s v="Store B"/>
    <s v="Retail"/>
    <n v="0"/>
    <x v="1"/>
    <n v="3688.32"/>
    <s v="Online"/>
    <s v="FREESHIP"/>
    <n v="0"/>
    <s v="REG101421"/>
    <s v="Cust 4529"/>
    <n v="13.62"/>
    <d v="2023-08-22T00:00:00"/>
    <d v="2023-08-24T00:00:00"/>
    <s v="Wendy"/>
    <x v="18"/>
    <x v="9"/>
  </r>
  <r>
    <d v="2024-04-16T00:00:00"/>
    <x v="1"/>
    <x v="1"/>
    <n v="6"/>
    <n v="524.19000000000005"/>
    <s v="Store D"/>
    <s v="Retail"/>
    <n v="0.15"/>
    <x v="2"/>
    <n v="2673.3690000000001"/>
    <s v="Cash"/>
    <s v="WINTER15"/>
    <n v="0"/>
    <s v="REG101422"/>
    <s v="Cust 2365"/>
    <n v="31.04"/>
    <d v="2024-04-16T00:00:00"/>
    <d v="2024-04-20T00:00:00"/>
    <s v="Sophie"/>
    <x v="9"/>
    <x v="7"/>
  </r>
  <r>
    <d v="2025-05-11T00:00:00"/>
    <x v="3"/>
    <x v="3"/>
    <n v="16"/>
    <n v="305.20999999999998"/>
    <s v="Store A"/>
    <s v="Wholesale"/>
    <n v="0.1"/>
    <x v="1"/>
    <n v="4395.0239999999994"/>
    <s v="Debit Card"/>
    <s v="SAVE10"/>
    <n v="0"/>
    <s v="REG101423"/>
    <s v="Cust 6361"/>
    <n v="33.369999999999997"/>
    <d v="2025-05-11T00:00:00"/>
    <d v="2025-05-19T00:00:00"/>
    <s v="Cameron"/>
    <x v="13"/>
    <x v="10"/>
  </r>
  <r>
    <d v="2023-12-11T00:00:00"/>
    <x v="2"/>
    <x v="6"/>
    <n v="16"/>
    <n v="438.71"/>
    <s v="Store C"/>
    <s v="Retail"/>
    <n v="0"/>
    <x v="1"/>
    <n v="7019.36"/>
    <s v="Online"/>
    <m/>
    <n v="0"/>
    <s v="REG101424"/>
    <s v="Cust 4228"/>
    <n v="6.53"/>
    <d v="2023-12-11T00:00:00"/>
    <d v="2023-12-21T00:00:00"/>
    <s v="Ryan"/>
    <x v="27"/>
    <x v="12"/>
  </r>
  <r>
    <d v="2023-01-16T00:00:00"/>
    <x v="2"/>
    <x v="6"/>
    <n v="10"/>
    <n v="193.96"/>
    <s v="Store D"/>
    <s v="Wholesale"/>
    <n v="0.1"/>
    <x v="1"/>
    <n v="1745.64"/>
    <s v="Gift Card"/>
    <m/>
    <n v="0"/>
    <s v="REG101425"/>
    <s v="Cust 3940"/>
    <n v="41.3"/>
    <d v="2023-01-16T00:00:00"/>
    <d v="2023-01-21T00:00:00"/>
    <s v="Ryan"/>
    <x v="6"/>
    <x v="0"/>
  </r>
  <r>
    <d v="2023-05-10T00:00:00"/>
    <x v="0"/>
    <x v="1"/>
    <n v="18"/>
    <n v="580.41999999999996"/>
    <s v="Store A"/>
    <s v="Wholesale"/>
    <n v="0.05"/>
    <x v="5"/>
    <n v="9925.1819999999989"/>
    <s v="Online"/>
    <s v="SAVE10"/>
    <n v="0"/>
    <s v="REG101426"/>
    <s v="Cust 4392"/>
    <n v="37.81"/>
    <d v="2023-05-10T00:00:00"/>
    <d v="2023-05-17T00:00:00"/>
    <s v="Eric"/>
    <x v="2"/>
    <x v="2"/>
  </r>
  <r>
    <d v="2024-06-22T00:00:00"/>
    <x v="3"/>
    <x v="4"/>
    <n v="18"/>
    <n v="91.55"/>
    <s v="Store C"/>
    <s v="Retail"/>
    <n v="0.1"/>
    <x v="1"/>
    <n v="1483.11"/>
    <s v="Debit Card"/>
    <s v="FREESHIP"/>
    <n v="0"/>
    <s v="REG101427"/>
    <s v="Cust 4404"/>
    <n v="32.54"/>
    <d v="2024-06-22T00:00:00"/>
    <d v="2024-06-29T00:00:00"/>
    <s v="Cameron"/>
    <x v="23"/>
    <x v="11"/>
  </r>
  <r>
    <d v="2025-03-29T00:00:00"/>
    <x v="4"/>
    <x v="5"/>
    <n v="13"/>
    <n v="113.78"/>
    <s v="Store C"/>
    <s v="Wholesale"/>
    <n v="0.1"/>
    <x v="0"/>
    <n v="1331.2260000000001"/>
    <s v="Online"/>
    <s v="FREESHIP"/>
    <n v="0"/>
    <s v="REG101428"/>
    <s v="Cust 2981"/>
    <n v="28.07"/>
    <d v="2025-03-29T00:00:00"/>
    <d v="2025-04-07T00:00:00"/>
    <s v="Wendy"/>
    <x v="8"/>
    <x v="6"/>
  </r>
  <r>
    <d v="2023-04-18T00:00:00"/>
    <x v="2"/>
    <x v="5"/>
    <n v="16"/>
    <n v="477.91"/>
    <s v="Store A"/>
    <s v="Wholesale"/>
    <n v="0"/>
    <x v="3"/>
    <n v="7646.56"/>
    <s v="Credit Card"/>
    <s v="WINTER15"/>
    <n v="0"/>
    <s v="REG101429"/>
    <s v="Cust 3571"/>
    <n v="21.89"/>
    <d v="2023-04-18T00:00:00"/>
    <d v="2023-04-23T00:00:00"/>
    <s v="Ryan"/>
    <x v="21"/>
    <x v="13"/>
  </r>
  <r>
    <d v="2023-02-07T00:00:00"/>
    <x v="3"/>
    <x v="0"/>
    <n v="14"/>
    <n v="306.39"/>
    <s v="Store A"/>
    <s v="Retail"/>
    <n v="0.1"/>
    <x v="0"/>
    <n v="3860.5140000000001"/>
    <s v="Cash"/>
    <s v="WINTER15"/>
    <n v="0"/>
    <s v="REG101430"/>
    <s v="Cust 2592"/>
    <n v="38.729999999999997"/>
    <d v="2023-02-07T00:00:00"/>
    <d v="2023-02-09T00:00:00"/>
    <s v="Cameron"/>
    <x v="0"/>
    <x v="0"/>
  </r>
  <r>
    <d v="2025-01-22T00:00:00"/>
    <x v="0"/>
    <x v="5"/>
    <n v="17"/>
    <n v="8.33"/>
    <s v="Store A"/>
    <s v="Retail"/>
    <n v="0.05"/>
    <x v="0"/>
    <n v="134.52950000000001"/>
    <s v="Cash"/>
    <m/>
    <n v="0"/>
    <s v="REG101431"/>
    <s v="Cust 6209"/>
    <n v="43.29"/>
    <d v="2025-01-22T00:00:00"/>
    <d v="2025-01-25T00:00:00"/>
    <s v="Eric"/>
    <x v="12"/>
    <x v="3"/>
  </r>
  <r>
    <d v="2023-07-04T00:00:00"/>
    <x v="0"/>
    <x v="1"/>
    <n v="6"/>
    <n v="346.86"/>
    <s v="Store C"/>
    <s v="Retail"/>
    <n v="0.05"/>
    <x v="0"/>
    <n v="1977.1020000000001"/>
    <s v="Gift Card"/>
    <s v="FREESHIP"/>
    <n v="0"/>
    <s v="REG101432"/>
    <s v="Cust 6600"/>
    <n v="29.18"/>
    <d v="2023-07-04T00:00:00"/>
    <d v="2023-07-12T00:00:00"/>
    <s v="Eric"/>
    <x v="11"/>
    <x v="9"/>
  </r>
  <r>
    <d v="2023-07-31T00:00:00"/>
    <x v="3"/>
    <x v="2"/>
    <n v="14"/>
    <n v="223.26"/>
    <s v="Store B"/>
    <s v="Wholesale"/>
    <n v="0.1"/>
    <x v="1"/>
    <n v="2813.076"/>
    <s v="Credit Card"/>
    <s v="WINTER15"/>
    <n v="0"/>
    <s v="REG101433"/>
    <s v="Cust 6899"/>
    <n v="12.88"/>
    <d v="2023-07-31T00:00:00"/>
    <d v="2023-08-03T00:00:00"/>
    <s v="Cameron"/>
    <x v="11"/>
    <x v="9"/>
  </r>
  <r>
    <d v="2023-04-20T00:00:00"/>
    <x v="2"/>
    <x v="2"/>
    <n v="6"/>
    <n v="529.1"/>
    <s v="Store D"/>
    <s v="Wholesale"/>
    <n v="0"/>
    <x v="0"/>
    <n v="3174.6"/>
    <s v="Debit Card"/>
    <s v="WINTER15"/>
    <n v="0"/>
    <s v="REG101434"/>
    <s v="Cust 1563"/>
    <n v="5.13"/>
    <d v="2023-04-20T00:00:00"/>
    <d v="2023-04-27T00:00:00"/>
    <s v="Ryan"/>
    <x v="21"/>
    <x v="13"/>
  </r>
  <r>
    <d v="2024-10-08T00:00:00"/>
    <x v="3"/>
    <x v="5"/>
    <n v="11"/>
    <n v="97.34"/>
    <s v="Store D"/>
    <s v="Wholesale"/>
    <n v="0.1"/>
    <x v="3"/>
    <n v="963.66600000000005"/>
    <s v="Debit Card"/>
    <s v="SAVE10"/>
    <n v="0"/>
    <s v="REG101435"/>
    <s v="Cust 6733"/>
    <n v="10.61"/>
    <d v="2024-10-08T00:00:00"/>
    <d v="2024-10-11T00:00:00"/>
    <s v="Cameron"/>
    <x v="7"/>
    <x v="5"/>
  </r>
  <r>
    <d v="2024-01-25T00:00:00"/>
    <x v="0"/>
    <x v="3"/>
    <n v="11"/>
    <n v="422.89"/>
    <s v="Store B"/>
    <s v="Retail"/>
    <n v="0.1"/>
    <x v="2"/>
    <n v="4186.6109999999999"/>
    <s v="Credit Card"/>
    <s v="SAVE10"/>
    <n v="0"/>
    <s v="REG101436"/>
    <s v="Cust 7635"/>
    <n v="45.89"/>
    <d v="2024-01-25T00:00:00"/>
    <d v="2024-01-27T00:00:00"/>
    <s v="Eric"/>
    <x v="24"/>
    <x v="4"/>
  </r>
  <r>
    <d v="2024-12-16T00:00:00"/>
    <x v="1"/>
    <x v="4"/>
    <n v="4"/>
    <n v="557.16999999999996"/>
    <s v="Store C"/>
    <s v="Wholesale"/>
    <n v="0.05"/>
    <x v="2"/>
    <n v="2117.2460000000001"/>
    <s v="Credit Card"/>
    <m/>
    <n v="0"/>
    <s v="REG101437"/>
    <s v="Cust 4354"/>
    <n v="32.159999999999997"/>
    <d v="2024-12-16T00:00:00"/>
    <d v="2024-12-25T00:00:00"/>
    <s v="Sophie"/>
    <x v="1"/>
    <x v="1"/>
  </r>
  <r>
    <d v="2024-10-24T00:00:00"/>
    <x v="3"/>
    <x v="6"/>
    <n v="9"/>
    <n v="459.65"/>
    <s v="Store B"/>
    <s v="Retail"/>
    <n v="0.1"/>
    <x v="5"/>
    <n v="3723.165"/>
    <s v="Gift Card"/>
    <s v="WINTER15"/>
    <n v="1"/>
    <s v="REG101438"/>
    <s v="Cust 1462"/>
    <n v="22.24"/>
    <d v="2024-10-24T00:00:00"/>
    <d v="2024-11-01T00:00:00"/>
    <s v="Cameron"/>
    <x v="7"/>
    <x v="5"/>
  </r>
  <r>
    <d v="2023-11-16T00:00:00"/>
    <x v="4"/>
    <x v="4"/>
    <n v="8"/>
    <n v="493.35"/>
    <s v="Store A"/>
    <s v="Retail"/>
    <n v="0.1"/>
    <x v="1"/>
    <n v="3552.12"/>
    <s v="Cash"/>
    <s v="FREESHIP"/>
    <n v="1"/>
    <s v="REG101439"/>
    <s v="Cust 1376"/>
    <n v="12.86"/>
    <d v="2023-11-16T00:00:00"/>
    <d v="2023-11-20T00:00:00"/>
    <s v="Wendy"/>
    <x v="15"/>
    <x v="12"/>
  </r>
  <r>
    <d v="2024-03-31T00:00:00"/>
    <x v="1"/>
    <x v="0"/>
    <n v="13"/>
    <n v="428.59"/>
    <s v="Store D"/>
    <s v="Retail"/>
    <n v="0"/>
    <x v="5"/>
    <n v="5571.67"/>
    <s v="Cash"/>
    <s v="FREESHIP"/>
    <n v="0"/>
    <s v="REG101440"/>
    <s v="Cust 6542"/>
    <n v="23.89"/>
    <d v="2024-03-31T00:00:00"/>
    <d v="2024-04-08T00:00:00"/>
    <s v="Sophie"/>
    <x v="25"/>
    <x v="7"/>
  </r>
  <r>
    <d v="2023-02-13T00:00:00"/>
    <x v="0"/>
    <x v="0"/>
    <n v="7"/>
    <n v="242.11"/>
    <s v="Store C"/>
    <s v="Wholesale"/>
    <n v="0.05"/>
    <x v="0"/>
    <n v="1610.0315000000001"/>
    <s v="Debit Card"/>
    <s v="WINTER15"/>
    <n v="0"/>
    <s v="REG101441"/>
    <s v="Cust 1186"/>
    <n v="47.19"/>
    <d v="2023-02-13T00:00:00"/>
    <d v="2023-02-18T00:00:00"/>
    <s v="Eric"/>
    <x v="0"/>
    <x v="0"/>
  </r>
  <r>
    <d v="2023-09-20T00:00:00"/>
    <x v="1"/>
    <x v="5"/>
    <n v="17"/>
    <n v="477.38"/>
    <s v="Store C"/>
    <s v="Retail"/>
    <n v="0.05"/>
    <x v="1"/>
    <n v="7709.6869999999999"/>
    <s v="Gift Card"/>
    <s v="FREESHIP"/>
    <n v="0"/>
    <s v="REG101442"/>
    <s v="Cust 4386"/>
    <n v="35.28"/>
    <d v="2023-09-20T00:00:00"/>
    <d v="2023-09-27T00:00:00"/>
    <s v="Sophie"/>
    <x v="22"/>
    <x v="14"/>
  </r>
  <r>
    <d v="2023-06-27T00:00:00"/>
    <x v="1"/>
    <x v="3"/>
    <n v="3"/>
    <n v="261.60000000000002"/>
    <s v="Store D"/>
    <s v="Retail"/>
    <n v="0.05"/>
    <x v="4"/>
    <n v="745.56000000000006"/>
    <s v="Cash"/>
    <s v="WINTER15"/>
    <n v="0"/>
    <s v="REG101443"/>
    <s v="Cust 6708"/>
    <n v="42.11"/>
    <d v="2023-06-27T00:00:00"/>
    <d v="2023-07-07T00:00:00"/>
    <s v="Sophie"/>
    <x v="4"/>
    <x v="2"/>
  </r>
  <r>
    <d v="2025-04-02T00:00:00"/>
    <x v="3"/>
    <x v="0"/>
    <n v="6"/>
    <n v="416.2"/>
    <s v="Store A"/>
    <s v="Wholesale"/>
    <n v="0.05"/>
    <x v="1"/>
    <n v="2372.34"/>
    <s v="Cash"/>
    <s v="WINTER15"/>
    <n v="1"/>
    <s v="REG101444"/>
    <s v="Cust 6354"/>
    <n v="44.14"/>
    <d v="2025-04-02T00:00:00"/>
    <d v="2025-04-06T00:00:00"/>
    <s v="Cameron"/>
    <x v="28"/>
    <x v="6"/>
  </r>
  <r>
    <d v="2025-04-16T00:00:00"/>
    <x v="2"/>
    <x v="6"/>
    <n v="15"/>
    <n v="99.66"/>
    <s v="Store A"/>
    <s v="Wholesale"/>
    <n v="0"/>
    <x v="0"/>
    <n v="1494.9"/>
    <s v="Cash"/>
    <s v="FREESHIP"/>
    <n v="0"/>
    <s v="REG101445"/>
    <s v="Cust 3477"/>
    <n v="27.55"/>
    <d v="2025-04-16T00:00:00"/>
    <d v="2025-04-26T00:00:00"/>
    <s v="Ryan"/>
    <x v="28"/>
    <x v="6"/>
  </r>
  <r>
    <d v="2024-07-09T00:00:00"/>
    <x v="3"/>
    <x v="0"/>
    <n v="16"/>
    <n v="55.56"/>
    <s v="Store D"/>
    <s v="Wholesale"/>
    <n v="0.15"/>
    <x v="2"/>
    <n v="755.61599999999999"/>
    <s v="Cash"/>
    <m/>
    <n v="1"/>
    <s v="REG101446"/>
    <s v="Cust 6646"/>
    <n v="17.809999999999999"/>
    <d v="2024-07-09T00:00:00"/>
    <d v="2024-07-17T00:00:00"/>
    <s v="Cameron"/>
    <x v="10"/>
    <x v="8"/>
  </r>
  <r>
    <d v="2025-06-23T00:00:00"/>
    <x v="0"/>
    <x v="1"/>
    <n v="20"/>
    <n v="243.47"/>
    <s v="Store A"/>
    <s v="Wholesale"/>
    <n v="0.05"/>
    <x v="1"/>
    <n v="4625.9299999999994"/>
    <s v="Gift Card"/>
    <s v="FREESHIP"/>
    <n v="1"/>
    <s v="REG101447"/>
    <s v="Cust 4250"/>
    <n v="32.28"/>
    <d v="2025-06-23T00:00:00"/>
    <d v="2025-07-03T00:00:00"/>
    <s v="Eric"/>
    <x v="16"/>
    <x v="10"/>
  </r>
  <r>
    <d v="2024-06-09T00:00:00"/>
    <x v="0"/>
    <x v="5"/>
    <n v="11"/>
    <n v="185.59"/>
    <s v="Store B"/>
    <s v="Retail"/>
    <n v="0.1"/>
    <x v="3"/>
    <n v="1837.3409999999999"/>
    <s v="Gift Card"/>
    <m/>
    <n v="0"/>
    <s v="REG101448"/>
    <s v="Cust 5351"/>
    <n v="45.19"/>
    <d v="2024-06-09T00:00:00"/>
    <d v="2024-06-18T00:00:00"/>
    <s v="Eric"/>
    <x v="23"/>
    <x v="11"/>
  </r>
  <r>
    <d v="2023-12-01T00:00:00"/>
    <x v="3"/>
    <x v="2"/>
    <n v="11"/>
    <n v="347.38"/>
    <s v="Store C"/>
    <s v="Wholesale"/>
    <n v="0.05"/>
    <x v="0"/>
    <n v="3630.1210000000001"/>
    <s v="Credit Card"/>
    <s v="FREESHIP"/>
    <n v="0"/>
    <s v="REG101449"/>
    <s v="Cust 6284"/>
    <n v="24.8"/>
    <d v="2023-12-01T00:00:00"/>
    <d v="2023-12-03T00:00:00"/>
    <s v="Cameron"/>
    <x v="27"/>
    <x v="12"/>
  </r>
  <r>
    <d v="2024-07-24T00:00:00"/>
    <x v="4"/>
    <x v="5"/>
    <n v="15"/>
    <n v="318.02999999999997"/>
    <s v="Store D"/>
    <s v="Retail"/>
    <n v="0.05"/>
    <x v="4"/>
    <n v="4531.9274999999998"/>
    <s v="Gift Card"/>
    <s v="WINTER15"/>
    <n v="1"/>
    <s v="REG101450"/>
    <s v="Cust 9099"/>
    <n v="24.38"/>
    <d v="2024-07-24T00:00:00"/>
    <d v="2024-07-30T00:00:00"/>
    <s v="Wendy"/>
    <x v="10"/>
    <x v="8"/>
  </r>
  <r>
    <d v="2023-04-12T00:00:00"/>
    <x v="4"/>
    <x v="3"/>
    <n v="15"/>
    <n v="242.35"/>
    <s v="Store D"/>
    <s v="Wholesale"/>
    <n v="0.15"/>
    <x v="4"/>
    <n v="3089.9625000000001"/>
    <s v="Cash"/>
    <s v="WINTER15"/>
    <n v="1"/>
    <s v="REG101451"/>
    <s v="Cust 3944"/>
    <n v="14.92"/>
    <d v="2023-04-12T00:00:00"/>
    <d v="2023-04-19T00:00:00"/>
    <s v="Wendy"/>
    <x v="21"/>
    <x v="13"/>
  </r>
  <r>
    <d v="2024-12-17T00:00:00"/>
    <x v="2"/>
    <x v="2"/>
    <n v="3"/>
    <n v="82.09"/>
    <s v="Store B"/>
    <s v="Retail"/>
    <n v="0.15"/>
    <x v="0"/>
    <n v="209.3295"/>
    <s v="Gift Card"/>
    <s v="WINTER15"/>
    <n v="1"/>
    <s v="REG101452"/>
    <s v="Cust 6124"/>
    <n v="12.63"/>
    <d v="2024-12-17T00:00:00"/>
    <d v="2024-12-26T00:00:00"/>
    <s v="Ryan"/>
    <x v="1"/>
    <x v="1"/>
  </r>
  <r>
    <d v="2024-08-08T00:00:00"/>
    <x v="1"/>
    <x v="4"/>
    <n v="10"/>
    <n v="285.73"/>
    <s v="Store D"/>
    <s v="Wholesale"/>
    <n v="0.15"/>
    <x v="0"/>
    <n v="2428.7049999999999"/>
    <s v="Cash"/>
    <s v="WINTER15"/>
    <n v="1"/>
    <s v="REG101453"/>
    <s v="Cust 8533"/>
    <n v="26.68"/>
    <d v="2024-08-08T00:00:00"/>
    <d v="2024-08-14T00:00:00"/>
    <s v="Sophie"/>
    <x v="29"/>
    <x v="8"/>
  </r>
  <r>
    <d v="2024-09-15T00:00:00"/>
    <x v="0"/>
    <x v="0"/>
    <n v="17"/>
    <n v="341.52"/>
    <s v="Store C"/>
    <s v="Wholesale"/>
    <n v="0.1"/>
    <x v="0"/>
    <n v="5225.2560000000003"/>
    <s v="Credit Card"/>
    <s v="FREESHIP"/>
    <n v="0"/>
    <s v="REG101454"/>
    <s v="Cust 1135"/>
    <n v="16.670000000000002"/>
    <d v="2024-09-15T00:00:00"/>
    <d v="2024-09-22T00:00:00"/>
    <s v="Eric"/>
    <x v="26"/>
    <x v="5"/>
  </r>
  <r>
    <d v="2023-10-08T00:00:00"/>
    <x v="1"/>
    <x v="5"/>
    <n v="14"/>
    <n v="216.4"/>
    <s v="Store D"/>
    <s v="Wholesale"/>
    <n v="0.1"/>
    <x v="4"/>
    <n v="2726.64"/>
    <s v="Debit Card"/>
    <s v="WINTER15"/>
    <n v="0"/>
    <s v="REG101455"/>
    <s v="Cust 5638"/>
    <n v="40.74"/>
    <d v="2023-10-08T00:00:00"/>
    <d v="2023-10-10T00:00:00"/>
    <s v="Sophie"/>
    <x v="19"/>
    <x v="14"/>
  </r>
  <r>
    <d v="2025-05-23T00:00:00"/>
    <x v="1"/>
    <x v="1"/>
    <n v="16"/>
    <n v="231.76"/>
    <s v="Store B"/>
    <s v="Retail"/>
    <n v="0.15"/>
    <x v="5"/>
    <n v="3151.9360000000001"/>
    <s v="Online"/>
    <s v="WINTER15"/>
    <n v="1"/>
    <s v="REG101456"/>
    <s v="Cust 1333"/>
    <n v="9.42"/>
    <d v="2025-05-23T00:00:00"/>
    <d v="2025-05-27T00:00:00"/>
    <s v="Sophie"/>
    <x v="13"/>
    <x v="10"/>
  </r>
  <r>
    <d v="2023-01-02T00:00:00"/>
    <x v="1"/>
    <x v="0"/>
    <n v="7"/>
    <n v="61.47"/>
    <s v="Store C"/>
    <s v="Retail"/>
    <n v="0.15"/>
    <x v="0"/>
    <n v="365.74650000000003"/>
    <s v="Online"/>
    <s v="FREESHIP"/>
    <n v="0"/>
    <s v="REG101457"/>
    <s v="Cust 2394"/>
    <n v="14.44"/>
    <d v="2023-01-02T00:00:00"/>
    <d v="2023-01-12T00:00:00"/>
    <s v="Sophie"/>
    <x v="6"/>
    <x v="0"/>
  </r>
  <r>
    <d v="2023-10-19T00:00:00"/>
    <x v="2"/>
    <x v="2"/>
    <n v="15"/>
    <n v="434.44"/>
    <s v="Store B"/>
    <s v="Wholesale"/>
    <n v="0"/>
    <x v="5"/>
    <n v="6516.6"/>
    <s v="Debit Card"/>
    <m/>
    <n v="1"/>
    <s v="REG101458"/>
    <s v="Cust 8495"/>
    <n v="33.86"/>
    <d v="2023-10-19T00:00:00"/>
    <d v="2023-10-28T00:00:00"/>
    <s v="Ryan"/>
    <x v="19"/>
    <x v="14"/>
  </r>
  <r>
    <d v="2025-04-25T00:00:00"/>
    <x v="4"/>
    <x v="3"/>
    <n v="16"/>
    <n v="484.01"/>
    <s v="Store A"/>
    <s v="Wholesale"/>
    <n v="0"/>
    <x v="1"/>
    <n v="7744.16"/>
    <s v="Online"/>
    <s v="SAVE10"/>
    <n v="1"/>
    <s v="REG101459"/>
    <s v="Cust 3988"/>
    <n v="9.65"/>
    <d v="2025-04-25T00:00:00"/>
    <d v="2025-05-01T00:00:00"/>
    <s v="Wendy"/>
    <x v="28"/>
    <x v="6"/>
  </r>
  <r>
    <d v="2024-03-31T00:00:00"/>
    <x v="3"/>
    <x v="2"/>
    <n v="2"/>
    <n v="55.08"/>
    <s v="Store C"/>
    <s v="Wholesale"/>
    <n v="0"/>
    <x v="2"/>
    <n v="110.16"/>
    <s v="Credit Card"/>
    <s v="FREESHIP"/>
    <n v="0"/>
    <s v="REG101460"/>
    <s v="Cust 4664"/>
    <n v="9.85"/>
    <d v="2024-03-31T00:00:00"/>
    <d v="2024-04-04T00:00:00"/>
    <s v="Cameron"/>
    <x v="25"/>
    <x v="7"/>
  </r>
  <r>
    <d v="2025-01-31T00:00:00"/>
    <x v="2"/>
    <x v="6"/>
    <n v="13"/>
    <n v="223.44"/>
    <s v="Store B"/>
    <s v="Retail"/>
    <n v="0.15"/>
    <x v="3"/>
    <n v="2469.0120000000002"/>
    <s v="Credit Card"/>
    <m/>
    <n v="1"/>
    <s v="REG101461"/>
    <s v="Cust 5086"/>
    <n v="38.46"/>
    <d v="2025-01-31T00:00:00"/>
    <d v="2025-02-07T00:00:00"/>
    <s v="Ryan"/>
    <x v="12"/>
    <x v="3"/>
  </r>
  <r>
    <d v="2025-03-27T00:00:00"/>
    <x v="0"/>
    <x v="1"/>
    <n v="11"/>
    <n v="548.08000000000004"/>
    <s v="Store D"/>
    <s v="Wholesale"/>
    <n v="0.05"/>
    <x v="0"/>
    <n v="5727.4359999999997"/>
    <s v="Cash"/>
    <m/>
    <n v="0"/>
    <s v="REG101462"/>
    <s v="Cust 8858"/>
    <n v="25.82"/>
    <d v="2025-03-27T00:00:00"/>
    <d v="2025-04-06T00:00:00"/>
    <s v="Eric"/>
    <x v="8"/>
    <x v="6"/>
  </r>
  <r>
    <d v="2025-01-19T00:00:00"/>
    <x v="3"/>
    <x v="2"/>
    <n v="11"/>
    <n v="133.63999999999999"/>
    <s v="Store D"/>
    <s v="Wholesale"/>
    <n v="0"/>
    <x v="4"/>
    <n v="1470.04"/>
    <s v="Debit Card"/>
    <m/>
    <n v="1"/>
    <s v="REG101463"/>
    <s v="Cust 8796"/>
    <n v="30.18"/>
    <d v="2025-01-19T00:00:00"/>
    <d v="2025-01-24T00:00:00"/>
    <s v="Cameron"/>
    <x v="12"/>
    <x v="3"/>
  </r>
  <r>
    <d v="2024-05-16T00:00:00"/>
    <x v="2"/>
    <x v="3"/>
    <n v="19"/>
    <n v="368.85"/>
    <s v="Store C"/>
    <s v="Retail"/>
    <n v="0.1"/>
    <x v="5"/>
    <n v="6307.3350000000009"/>
    <s v="Gift Card"/>
    <s v="FREESHIP"/>
    <n v="0"/>
    <s v="REG101464"/>
    <s v="Cust 2496"/>
    <n v="35.369999999999997"/>
    <d v="2024-05-16T00:00:00"/>
    <d v="2024-05-21T00:00:00"/>
    <s v="Ryan"/>
    <x v="14"/>
    <x v="11"/>
  </r>
  <r>
    <d v="2023-09-04T00:00:00"/>
    <x v="3"/>
    <x v="3"/>
    <n v="14"/>
    <n v="115.98"/>
    <s v="Store A"/>
    <s v="Wholesale"/>
    <n v="0"/>
    <x v="5"/>
    <n v="1623.72"/>
    <s v="Debit Card"/>
    <m/>
    <n v="0"/>
    <s v="REG101465"/>
    <s v="Cust 5465"/>
    <n v="31.85"/>
    <d v="2023-09-04T00:00:00"/>
    <d v="2023-09-06T00:00:00"/>
    <s v="Cameron"/>
    <x v="22"/>
    <x v="14"/>
  </r>
  <r>
    <d v="2023-12-17T00:00:00"/>
    <x v="1"/>
    <x v="4"/>
    <n v="9"/>
    <n v="55.04"/>
    <s v="Store B"/>
    <s v="Retail"/>
    <n v="0.15"/>
    <x v="1"/>
    <n v="421.05599999999998"/>
    <s v="Online"/>
    <m/>
    <n v="0"/>
    <s v="REG101466"/>
    <s v="Cust 2311"/>
    <n v="31.09"/>
    <d v="2023-12-17T00:00:00"/>
    <d v="2023-12-23T00:00:00"/>
    <s v="Sophie"/>
    <x v="27"/>
    <x v="12"/>
  </r>
  <r>
    <d v="2024-01-15T00:00:00"/>
    <x v="3"/>
    <x v="4"/>
    <n v="4"/>
    <n v="159.54"/>
    <s v="Store A"/>
    <s v="Wholesale"/>
    <n v="0.05"/>
    <x v="1"/>
    <n v="606.25199999999995"/>
    <s v="Credit Card"/>
    <s v="FREESHIP"/>
    <n v="0"/>
    <s v="REG101467"/>
    <s v="Cust 4575"/>
    <n v="32.36"/>
    <d v="2024-01-15T00:00:00"/>
    <d v="2024-01-21T00:00:00"/>
    <s v="Cameron"/>
    <x v="24"/>
    <x v="4"/>
  </r>
  <r>
    <d v="2024-12-19T00:00:00"/>
    <x v="3"/>
    <x v="0"/>
    <n v="15"/>
    <n v="150.15"/>
    <s v="Store C"/>
    <s v="Retail"/>
    <n v="0"/>
    <x v="2"/>
    <n v="2252.25"/>
    <s v="Online"/>
    <s v="WINTER15"/>
    <n v="0"/>
    <s v="REG101468"/>
    <s v="Cust 8054"/>
    <n v="35.94"/>
    <d v="2024-12-19T00:00:00"/>
    <d v="2024-12-29T00:00:00"/>
    <s v="Cameron"/>
    <x v="1"/>
    <x v="1"/>
  </r>
  <r>
    <d v="2023-12-16T00:00:00"/>
    <x v="2"/>
    <x v="3"/>
    <n v="9"/>
    <n v="57.93"/>
    <s v="Store C"/>
    <s v="Wholesale"/>
    <n v="0"/>
    <x v="5"/>
    <n v="521.37"/>
    <s v="Gift Card"/>
    <s v="FREESHIP"/>
    <n v="1"/>
    <s v="REG101469"/>
    <s v="Cust 2553"/>
    <n v="28.73"/>
    <d v="2023-12-16T00:00:00"/>
    <d v="2023-12-18T00:00:00"/>
    <s v="Ryan"/>
    <x v="27"/>
    <x v="12"/>
  </r>
  <r>
    <d v="2025-05-14T00:00:00"/>
    <x v="3"/>
    <x v="0"/>
    <n v="4"/>
    <n v="438.58"/>
    <s v="Store D"/>
    <s v="Retail"/>
    <n v="0.05"/>
    <x v="1"/>
    <n v="1666.604"/>
    <s v="Online"/>
    <s v="WINTER15"/>
    <n v="0"/>
    <s v="REG101470"/>
    <s v="Cust 7547"/>
    <n v="5.0999999999999996"/>
    <d v="2025-05-14T00:00:00"/>
    <d v="2025-05-18T00:00:00"/>
    <s v="Cameron"/>
    <x v="13"/>
    <x v="10"/>
  </r>
  <r>
    <d v="2023-06-30T00:00:00"/>
    <x v="1"/>
    <x v="4"/>
    <n v="6"/>
    <n v="536.24"/>
    <s v="Store D"/>
    <s v="Retail"/>
    <n v="0"/>
    <x v="4"/>
    <n v="3217.44"/>
    <s v="Cash"/>
    <s v="WINTER15"/>
    <n v="0"/>
    <s v="REG101471"/>
    <s v="Cust 8150"/>
    <n v="35.32"/>
    <d v="2023-06-30T00:00:00"/>
    <d v="2023-07-02T00:00:00"/>
    <s v="Sophie"/>
    <x v="4"/>
    <x v="2"/>
  </r>
  <r>
    <d v="2025-06-30T00:00:00"/>
    <x v="1"/>
    <x v="1"/>
    <n v="20"/>
    <n v="444.77"/>
    <s v="Store B"/>
    <s v="Wholesale"/>
    <n v="0.1"/>
    <x v="4"/>
    <n v="8005.86"/>
    <s v="Online"/>
    <m/>
    <n v="1"/>
    <s v="REG101472"/>
    <s v="Cust 5635"/>
    <n v="20.05"/>
    <d v="2025-06-30T00:00:00"/>
    <d v="2025-07-07T00:00:00"/>
    <s v="Sophie"/>
    <x v="16"/>
    <x v="10"/>
  </r>
  <r>
    <d v="2025-03-14T00:00:00"/>
    <x v="3"/>
    <x v="6"/>
    <n v="10"/>
    <n v="212.1"/>
    <s v="Store B"/>
    <s v="Retail"/>
    <n v="0.15"/>
    <x v="0"/>
    <n v="1802.85"/>
    <s v="Gift Card"/>
    <s v="WINTER15"/>
    <n v="0"/>
    <s v="REG101473"/>
    <s v="Cust 4360"/>
    <n v="47.93"/>
    <d v="2025-03-14T00:00:00"/>
    <d v="2025-03-22T00:00:00"/>
    <s v="Cameron"/>
    <x v="8"/>
    <x v="6"/>
  </r>
  <r>
    <d v="2023-04-18T00:00:00"/>
    <x v="1"/>
    <x v="1"/>
    <n v="9"/>
    <n v="509.44"/>
    <s v="Store B"/>
    <s v="Retail"/>
    <n v="0.15"/>
    <x v="0"/>
    <n v="3897.2159999999999"/>
    <s v="Credit Card"/>
    <s v="SAVE10"/>
    <n v="0"/>
    <s v="REG101474"/>
    <s v="Cust 1624"/>
    <n v="13"/>
    <d v="2023-04-18T00:00:00"/>
    <d v="2023-04-27T00:00:00"/>
    <s v="Sophie"/>
    <x v="21"/>
    <x v="13"/>
  </r>
  <r>
    <d v="2024-09-11T00:00:00"/>
    <x v="4"/>
    <x v="4"/>
    <n v="8"/>
    <n v="236.17"/>
    <s v="Store C"/>
    <s v="Wholesale"/>
    <n v="0.15"/>
    <x v="2"/>
    <n v="1605.9559999999999"/>
    <s v="Cash"/>
    <s v="WINTER15"/>
    <n v="0"/>
    <s v="REG101475"/>
    <s v="Cust 6593"/>
    <n v="22.88"/>
    <d v="2024-09-11T00:00:00"/>
    <d v="2024-09-19T00:00:00"/>
    <s v="Wendy"/>
    <x v="26"/>
    <x v="5"/>
  </r>
  <r>
    <d v="2023-11-21T00:00:00"/>
    <x v="3"/>
    <x v="6"/>
    <n v="1"/>
    <n v="147.4"/>
    <s v="Store D"/>
    <s v="Retail"/>
    <n v="0"/>
    <x v="3"/>
    <n v="147.4"/>
    <s v="Cash"/>
    <s v="SAVE10"/>
    <n v="1"/>
    <s v="REG101476"/>
    <s v="Cust 9072"/>
    <n v="40.47"/>
    <d v="2023-11-21T00:00:00"/>
    <d v="2023-11-28T00:00:00"/>
    <s v="Cameron"/>
    <x v="15"/>
    <x v="12"/>
  </r>
  <r>
    <d v="2024-02-29T00:00:00"/>
    <x v="4"/>
    <x v="5"/>
    <n v="8"/>
    <n v="279.74"/>
    <s v="Store B"/>
    <s v="Retail"/>
    <n v="0.05"/>
    <x v="1"/>
    <n v="2126.0239999999999"/>
    <s v="Gift Card"/>
    <s v="FREESHIP"/>
    <n v="0"/>
    <s v="REG101477"/>
    <s v="Cust 1116"/>
    <n v="33.1"/>
    <d v="2024-02-29T00:00:00"/>
    <d v="2024-03-07T00:00:00"/>
    <s v="Wendy"/>
    <x v="5"/>
    <x v="4"/>
  </r>
  <r>
    <d v="2023-05-11T00:00:00"/>
    <x v="4"/>
    <x v="0"/>
    <n v="3"/>
    <n v="304.61"/>
    <s v="Store B"/>
    <s v="Wholesale"/>
    <n v="0.05"/>
    <x v="5"/>
    <n v="868.13850000000002"/>
    <s v="Cash"/>
    <s v="SAVE10"/>
    <n v="0"/>
    <s v="REG101478"/>
    <s v="Cust 8458"/>
    <n v="47.14"/>
    <d v="2023-05-11T00:00:00"/>
    <d v="2023-05-15T00:00:00"/>
    <s v="Wendy"/>
    <x v="2"/>
    <x v="2"/>
  </r>
  <r>
    <d v="2024-09-11T00:00:00"/>
    <x v="1"/>
    <x v="5"/>
    <n v="9"/>
    <n v="238.32"/>
    <s v="Store C"/>
    <s v="Retail"/>
    <n v="0"/>
    <x v="4"/>
    <n v="2144.88"/>
    <s v="Cash"/>
    <s v="WINTER15"/>
    <n v="1"/>
    <s v="REG101479"/>
    <s v="Cust 5409"/>
    <n v="8.5"/>
    <d v="2024-09-11T00:00:00"/>
    <d v="2024-09-20T00:00:00"/>
    <s v="Sophie"/>
    <x v="26"/>
    <x v="5"/>
  </r>
  <r>
    <d v="2024-08-16T00:00:00"/>
    <x v="4"/>
    <x v="6"/>
    <n v="16"/>
    <n v="483.37"/>
    <s v="Store B"/>
    <s v="Retail"/>
    <n v="0.1"/>
    <x v="1"/>
    <n v="6960.5280000000002"/>
    <s v="Debit Card"/>
    <m/>
    <n v="0"/>
    <s v="REG101480"/>
    <s v="Cust 8847"/>
    <n v="42.52"/>
    <d v="2024-08-16T00:00:00"/>
    <d v="2024-08-22T00:00:00"/>
    <s v="Wendy"/>
    <x v="29"/>
    <x v="8"/>
  </r>
  <r>
    <d v="2025-05-30T00:00:00"/>
    <x v="2"/>
    <x v="4"/>
    <n v="6"/>
    <n v="159.53"/>
    <s v="Store A"/>
    <s v="Retail"/>
    <n v="0.05"/>
    <x v="5"/>
    <n v="909.32100000000003"/>
    <s v="Gift Card"/>
    <m/>
    <n v="0"/>
    <s v="REG101481"/>
    <s v="Cust 7857"/>
    <n v="48.6"/>
    <d v="2025-05-30T00:00:00"/>
    <d v="2025-06-07T00:00:00"/>
    <s v="Ryan"/>
    <x v="13"/>
    <x v="10"/>
  </r>
  <r>
    <d v="2023-08-22T00:00:00"/>
    <x v="0"/>
    <x v="2"/>
    <n v="19"/>
    <n v="280.60000000000002"/>
    <s v="Store A"/>
    <s v="Wholesale"/>
    <n v="0.1"/>
    <x v="2"/>
    <n v="4798.26"/>
    <s v="Gift Card"/>
    <s v="FREESHIP"/>
    <n v="0"/>
    <s v="REG101482"/>
    <s v="Cust 7810"/>
    <n v="35.94"/>
    <d v="2023-08-22T00:00:00"/>
    <d v="2023-08-28T00:00:00"/>
    <s v="Eric"/>
    <x v="18"/>
    <x v="9"/>
  </r>
  <r>
    <d v="2024-01-23T00:00:00"/>
    <x v="0"/>
    <x v="5"/>
    <n v="2"/>
    <n v="389.98"/>
    <s v="Store D"/>
    <s v="Wholesale"/>
    <n v="0.05"/>
    <x v="3"/>
    <n v="740.96199999999999"/>
    <s v="Debit Card"/>
    <s v="SAVE10"/>
    <n v="1"/>
    <s v="REG101483"/>
    <s v="Cust 5665"/>
    <n v="24.55"/>
    <d v="2024-01-23T00:00:00"/>
    <d v="2024-01-25T00:00:00"/>
    <s v="Eric"/>
    <x v="24"/>
    <x v="4"/>
  </r>
  <r>
    <d v="2023-03-16T00:00:00"/>
    <x v="2"/>
    <x v="4"/>
    <n v="17"/>
    <n v="485.3"/>
    <s v="Store D"/>
    <s v="Retail"/>
    <n v="0.15"/>
    <x v="4"/>
    <n v="7012.585"/>
    <s v="Cash"/>
    <s v="WINTER15"/>
    <n v="0"/>
    <s v="REG101484"/>
    <s v="Cust 8015"/>
    <n v="37.94"/>
    <d v="2023-03-16T00:00:00"/>
    <d v="2023-03-23T00:00:00"/>
    <s v="Ryan"/>
    <x v="17"/>
    <x v="13"/>
  </r>
  <r>
    <d v="2025-05-16T00:00:00"/>
    <x v="1"/>
    <x v="0"/>
    <n v="4"/>
    <n v="472.24"/>
    <s v="Store D"/>
    <s v="Retail"/>
    <n v="0"/>
    <x v="1"/>
    <n v="1888.96"/>
    <s v="Gift Card"/>
    <s v="FREESHIP"/>
    <n v="1"/>
    <s v="REG101485"/>
    <s v="Cust 7211"/>
    <n v="6.78"/>
    <d v="2025-05-16T00:00:00"/>
    <d v="2025-05-21T00:00:00"/>
    <s v="Sophie"/>
    <x v="13"/>
    <x v="10"/>
  </r>
  <r>
    <d v="2023-05-23T00:00:00"/>
    <x v="0"/>
    <x v="4"/>
    <n v="8"/>
    <n v="143.53"/>
    <s v="Store D"/>
    <s v="Wholesale"/>
    <n v="0"/>
    <x v="1"/>
    <n v="1148.24"/>
    <s v="Cash"/>
    <s v="WINTER15"/>
    <n v="0"/>
    <s v="REG101486"/>
    <s v="Cust 8705"/>
    <n v="9.1"/>
    <d v="2023-05-23T00:00:00"/>
    <d v="2023-05-29T00:00:00"/>
    <s v="Eric"/>
    <x v="2"/>
    <x v="2"/>
  </r>
  <r>
    <d v="2024-06-16T00:00:00"/>
    <x v="2"/>
    <x v="3"/>
    <n v="5"/>
    <n v="159.91999999999999"/>
    <s v="Store B"/>
    <s v="Wholesale"/>
    <n v="0"/>
    <x v="3"/>
    <n v="799.59999999999991"/>
    <s v="Cash"/>
    <s v="SAVE10"/>
    <n v="0"/>
    <s v="REG101487"/>
    <s v="Cust 2905"/>
    <n v="10.86"/>
    <d v="2024-06-16T00:00:00"/>
    <d v="2024-06-23T00:00:00"/>
    <s v="Ryan"/>
    <x v="23"/>
    <x v="11"/>
  </r>
  <r>
    <d v="2025-01-28T00:00:00"/>
    <x v="3"/>
    <x v="4"/>
    <n v="13"/>
    <n v="447.34"/>
    <s v="Store A"/>
    <s v="Wholesale"/>
    <n v="0.05"/>
    <x v="2"/>
    <n v="5524.6489999999994"/>
    <s v="Cash"/>
    <s v="SAVE10"/>
    <n v="0"/>
    <s v="REG101488"/>
    <s v="Cust 5777"/>
    <n v="38.93"/>
    <d v="2025-01-28T00:00:00"/>
    <d v="2025-02-04T00:00:00"/>
    <s v="Cameron"/>
    <x v="12"/>
    <x v="3"/>
  </r>
  <r>
    <d v="2024-11-27T00:00:00"/>
    <x v="1"/>
    <x v="1"/>
    <n v="13"/>
    <n v="196.8"/>
    <s v="Store B"/>
    <s v="Retail"/>
    <n v="0.1"/>
    <x v="4"/>
    <n v="2302.56"/>
    <s v="Cash"/>
    <m/>
    <n v="0"/>
    <s v="REG101489"/>
    <s v="Cust 6695"/>
    <n v="10.119999999999999"/>
    <d v="2024-11-27T00:00:00"/>
    <d v="2024-12-07T00:00:00"/>
    <s v="Sophie"/>
    <x v="20"/>
    <x v="1"/>
  </r>
  <r>
    <d v="2023-10-09T00:00:00"/>
    <x v="3"/>
    <x v="3"/>
    <n v="3"/>
    <n v="485.81"/>
    <s v="Store A"/>
    <s v="Wholesale"/>
    <n v="0.1"/>
    <x v="0"/>
    <n v="1311.6869999999999"/>
    <s v="Debit Card"/>
    <s v="SAVE10"/>
    <n v="0"/>
    <s v="REG101490"/>
    <s v="Cust 1977"/>
    <n v="19.46"/>
    <d v="2023-10-09T00:00:00"/>
    <d v="2023-10-11T00:00:00"/>
    <s v="Cameron"/>
    <x v="19"/>
    <x v="14"/>
  </r>
  <r>
    <d v="2024-07-21T00:00:00"/>
    <x v="4"/>
    <x v="1"/>
    <n v="16"/>
    <n v="183.62"/>
    <s v="Store A"/>
    <s v="Wholesale"/>
    <n v="0.05"/>
    <x v="5"/>
    <n v="2791.0239999999999"/>
    <s v="Gift Card"/>
    <s v="WINTER15"/>
    <n v="0"/>
    <s v="REG101491"/>
    <s v="Cust 7979"/>
    <n v="6.56"/>
    <d v="2024-07-21T00:00:00"/>
    <d v="2024-07-31T00:00:00"/>
    <s v="Wendy"/>
    <x v="10"/>
    <x v="8"/>
  </r>
  <r>
    <d v="2024-07-03T00:00:00"/>
    <x v="0"/>
    <x v="4"/>
    <n v="2"/>
    <n v="373.07"/>
    <s v="Store A"/>
    <s v="Retail"/>
    <n v="0.05"/>
    <x v="4"/>
    <n v="708.83299999999997"/>
    <s v="Credit Card"/>
    <s v="FREESHIP"/>
    <n v="0"/>
    <s v="REG101492"/>
    <s v="Cust 2437"/>
    <n v="26.9"/>
    <d v="2024-07-03T00:00:00"/>
    <d v="2024-07-07T00:00:00"/>
    <s v="Eric"/>
    <x v="10"/>
    <x v="8"/>
  </r>
  <r>
    <d v="2024-09-24T00:00:00"/>
    <x v="4"/>
    <x v="4"/>
    <n v="17"/>
    <n v="527.67999999999995"/>
    <s v="Store B"/>
    <s v="Wholesale"/>
    <n v="0"/>
    <x v="4"/>
    <n v="8970.56"/>
    <s v="Gift Card"/>
    <s v="FREESHIP"/>
    <n v="0"/>
    <s v="REG101493"/>
    <s v="Cust 2516"/>
    <n v="29.19"/>
    <d v="2024-09-24T00:00:00"/>
    <d v="2024-10-02T00:00:00"/>
    <s v="Wendy"/>
    <x v="26"/>
    <x v="5"/>
  </r>
  <r>
    <d v="2025-01-14T00:00:00"/>
    <x v="0"/>
    <x v="5"/>
    <n v="5"/>
    <n v="201.29"/>
    <s v="Store D"/>
    <s v="Wholesale"/>
    <n v="0"/>
    <x v="3"/>
    <n v="1006.45"/>
    <s v="Online"/>
    <s v="FREESHIP"/>
    <n v="0"/>
    <s v="REG101494"/>
    <s v="Cust 6791"/>
    <n v="49.13"/>
    <d v="2025-01-14T00:00:00"/>
    <d v="2025-01-21T00:00:00"/>
    <s v="Eric"/>
    <x v="12"/>
    <x v="3"/>
  </r>
  <r>
    <d v="2025-02-17T00:00:00"/>
    <x v="4"/>
    <x v="2"/>
    <n v="13"/>
    <n v="134.56"/>
    <s v="Store D"/>
    <s v="Retail"/>
    <n v="0.05"/>
    <x v="3"/>
    <n v="1661.816"/>
    <s v="Credit Card"/>
    <s v="WINTER15"/>
    <n v="0"/>
    <s v="REG101495"/>
    <s v="Cust 5227"/>
    <n v="35.630000000000003"/>
    <d v="2025-02-17T00:00:00"/>
    <d v="2025-02-22T00:00:00"/>
    <s v="Wendy"/>
    <x v="3"/>
    <x v="3"/>
  </r>
  <r>
    <d v="2024-01-11T00:00:00"/>
    <x v="1"/>
    <x v="3"/>
    <n v="18"/>
    <n v="209.75"/>
    <s v="Store C"/>
    <s v="Wholesale"/>
    <n v="0.15"/>
    <x v="2"/>
    <n v="3209.1750000000002"/>
    <s v="Debit Card"/>
    <s v="FREESHIP"/>
    <n v="0"/>
    <s v="REG101496"/>
    <s v="Cust 5559"/>
    <n v="45.93"/>
    <d v="2024-01-11T00:00:00"/>
    <d v="2024-01-17T00:00:00"/>
    <s v="Sophie"/>
    <x v="24"/>
    <x v="4"/>
  </r>
  <r>
    <d v="2024-07-27T00:00:00"/>
    <x v="0"/>
    <x v="2"/>
    <n v="1"/>
    <n v="272.5"/>
    <s v="Store A"/>
    <s v="Wholesale"/>
    <n v="0"/>
    <x v="0"/>
    <n v="272.5"/>
    <s v="Gift Card"/>
    <s v="WINTER15"/>
    <n v="0"/>
    <s v="REG101497"/>
    <s v="Cust 8981"/>
    <n v="35.56"/>
    <d v="2024-07-27T00:00:00"/>
    <d v="2024-08-03T00:00:00"/>
    <s v="Eric"/>
    <x v="10"/>
    <x v="8"/>
  </r>
  <r>
    <d v="2024-12-03T00:00:00"/>
    <x v="3"/>
    <x v="4"/>
    <n v="14"/>
    <n v="262.67"/>
    <s v="Store A"/>
    <s v="Retail"/>
    <n v="0.05"/>
    <x v="3"/>
    <n v="3493.511"/>
    <s v="Gift Card"/>
    <s v="SAVE10"/>
    <n v="0"/>
    <s v="REG101498"/>
    <s v="Cust 1824"/>
    <n v="24.53"/>
    <d v="2024-12-03T00:00:00"/>
    <d v="2024-12-10T00:00:00"/>
    <s v="Cameron"/>
    <x v="1"/>
    <x v="1"/>
  </r>
  <r>
    <d v="2025-05-09T00:00:00"/>
    <x v="4"/>
    <x v="3"/>
    <n v="13"/>
    <n v="221.39"/>
    <s v="Store D"/>
    <s v="Wholesale"/>
    <n v="0"/>
    <x v="2"/>
    <n v="2878.07"/>
    <s v="Debit Card"/>
    <s v="FREESHIP"/>
    <n v="1"/>
    <s v="REG101499"/>
    <s v="Cust 1935"/>
    <n v="21.05"/>
    <d v="2025-05-09T00:00:00"/>
    <d v="2025-05-13T00:00:00"/>
    <s v="Wendy"/>
    <x v="1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2DB06-1316-4D19-A65A-5A79908A59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34" firstHeaderRow="1" firstDataRow="1" firstDataCol="1"/>
  <pivotFields count="21">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axis="axisRow" showAll="0">
      <items count="31">
        <item x="21"/>
        <item x="9"/>
        <item x="28"/>
        <item x="18"/>
        <item x="29"/>
        <item x="27"/>
        <item x="1"/>
        <item x="0"/>
        <item x="5"/>
        <item x="3"/>
        <item x="6"/>
        <item x="24"/>
        <item x="12"/>
        <item x="11"/>
        <item x="10"/>
        <item x="4"/>
        <item x="23"/>
        <item x="16"/>
        <item x="17"/>
        <item x="25"/>
        <item x="8"/>
        <item x="2"/>
        <item x="14"/>
        <item x="13"/>
        <item x="15"/>
        <item x="20"/>
        <item x="19"/>
        <item x="7"/>
        <item x="22"/>
        <item x="26"/>
        <item t="default"/>
      </items>
    </pivotField>
    <pivotField showAll="0">
      <items count="18">
        <item x="0"/>
        <item x="13"/>
        <item x="2"/>
        <item x="9"/>
        <item x="14"/>
        <item x="12"/>
        <item x="16"/>
        <item x="15"/>
        <item x="4"/>
        <item x="7"/>
        <item x="11"/>
        <item x="8"/>
        <item x="5"/>
        <item x="1"/>
        <item x="3"/>
        <item x="6"/>
        <item x="10"/>
        <item t="default"/>
      </items>
    </pivotField>
  </pivotFields>
  <rowFields count="1">
    <field x="19"/>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Price" fld="9"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BB44A-ED6F-4559-B1B2-D4ACD03404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1" firstHeaderRow="1" firstDataRow="1" firstDataCol="1"/>
  <pivotFields count="21">
    <pivotField numFmtId="164" showAll="0"/>
    <pivotField showAll="0"/>
    <pivotField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pivotField axis="axisRow" showAll="0">
      <items count="18">
        <item x="0"/>
        <item x="13"/>
        <item x="2"/>
        <item x="9"/>
        <item x="14"/>
        <item x="12"/>
        <item x="16"/>
        <item x="15"/>
        <item x="4"/>
        <item x="7"/>
        <item x="11"/>
        <item x="8"/>
        <item x="5"/>
        <item x="1"/>
        <item x="3"/>
        <item x="6"/>
        <item x="10"/>
        <item t="default"/>
      </items>
    </pivotField>
  </pivotFields>
  <rowFields count="1">
    <field x="20"/>
  </rowFields>
  <rowItems count="18">
    <i>
      <x/>
    </i>
    <i>
      <x v="1"/>
    </i>
    <i>
      <x v="2"/>
    </i>
    <i>
      <x v="3"/>
    </i>
    <i>
      <x v="4"/>
    </i>
    <i>
      <x v="5"/>
    </i>
    <i>
      <x v="6"/>
    </i>
    <i>
      <x v="7"/>
    </i>
    <i>
      <x v="8"/>
    </i>
    <i>
      <x v="9"/>
    </i>
    <i>
      <x v="10"/>
    </i>
    <i>
      <x v="11"/>
    </i>
    <i>
      <x v="12"/>
    </i>
    <i>
      <x v="13"/>
    </i>
    <i>
      <x v="14"/>
    </i>
    <i>
      <x v="15"/>
    </i>
    <i>
      <x v="16"/>
    </i>
    <i t="grand">
      <x/>
    </i>
  </rowItems>
  <colItems count="1">
    <i/>
  </colItems>
  <dataFields count="1">
    <dataField name="Sum of TotalPrice"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24D05-A4AF-4C23-ADF0-ACCABCB475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I10" firstHeaderRow="1" firstDataRow="2" firstDataCol="1"/>
  <pivotFields count="21">
    <pivotField numFmtId="164" showAll="0"/>
    <pivotField axis="axisRow" showAll="0">
      <items count="6">
        <item x="3"/>
        <item x="0"/>
        <item x="2"/>
        <item x="1"/>
        <item x="4"/>
        <item t="default"/>
      </items>
    </pivotField>
    <pivotField axis="axisCol"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pivotField showAll="0">
      <items count="18">
        <item x="0"/>
        <item x="13"/>
        <item x="2"/>
        <item x="9"/>
        <item x="14"/>
        <item x="12"/>
        <item x="16"/>
        <item x="15"/>
        <item x="4"/>
        <item x="7"/>
        <item x="11"/>
        <item x="8"/>
        <item x="5"/>
        <item x="1"/>
        <item x="3"/>
        <item x="6"/>
        <item x="10"/>
        <item t="default"/>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Sum of TotalPrice" fld="9" baseField="0" baseItem="0"/>
  </dataFields>
  <chartFormats count="2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series="1">
      <pivotArea type="data" outline="0" fieldPosition="0">
        <references count="2">
          <reference field="4294967294" count="1" selected="0">
            <x v="0"/>
          </reference>
          <reference field="2" count="1" selected="0">
            <x v="1"/>
          </reference>
        </references>
      </pivotArea>
    </chartFormat>
    <chartFormat chart="5" format="16" series="1">
      <pivotArea type="data" outline="0" fieldPosition="0">
        <references count="2">
          <reference field="4294967294" count="1" selected="0">
            <x v="0"/>
          </reference>
          <reference field="2" count="1" selected="0">
            <x v="2"/>
          </reference>
        </references>
      </pivotArea>
    </chartFormat>
    <chartFormat chart="5" format="17" series="1">
      <pivotArea type="data" outline="0" fieldPosition="0">
        <references count="2">
          <reference field="4294967294" count="1" selected="0">
            <x v="0"/>
          </reference>
          <reference field="2" count="1" selected="0">
            <x v="3"/>
          </reference>
        </references>
      </pivotArea>
    </chartFormat>
    <chartFormat chart="5" format="18" series="1">
      <pivotArea type="data" outline="0" fieldPosition="0">
        <references count="2">
          <reference field="4294967294" count="1" selected="0">
            <x v="0"/>
          </reference>
          <reference field="2" count="1" selected="0">
            <x v="4"/>
          </reference>
        </references>
      </pivotArea>
    </chartFormat>
    <chartFormat chart="5" format="19" series="1">
      <pivotArea type="data" outline="0" fieldPosition="0">
        <references count="2">
          <reference field="4294967294" count="1" selected="0">
            <x v="0"/>
          </reference>
          <reference field="2" count="1" selected="0">
            <x v="5"/>
          </reference>
        </references>
      </pivotArea>
    </chartFormat>
    <chartFormat chart="5" format="20" series="1">
      <pivotArea type="data" outline="0" fieldPosition="0">
        <references count="2">
          <reference field="4294967294" count="1" selected="0">
            <x v="0"/>
          </reference>
          <reference field="2" count="1" selected="0">
            <x v="6"/>
          </reference>
        </references>
      </pivotArea>
    </chartFormat>
    <chartFormat chart="20" format="14" series="1">
      <pivotArea type="data" outline="0" fieldPosition="0">
        <references count="2">
          <reference field="4294967294" count="1" selected="0">
            <x v="0"/>
          </reference>
          <reference field="2" count="1" selected="0">
            <x v="0"/>
          </reference>
        </references>
      </pivotArea>
    </chartFormat>
    <chartFormat chart="20" format="15" series="1">
      <pivotArea type="data" outline="0" fieldPosition="0">
        <references count="2">
          <reference field="4294967294" count="1" selected="0">
            <x v="0"/>
          </reference>
          <reference field="2" count="1" selected="0">
            <x v="1"/>
          </reference>
        </references>
      </pivotArea>
    </chartFormat>
    <chartFormat chart="20" format="16" series="1">
      <pivotArea type="data" outline="0" fieldPosition="0">
        <references count="2">
          <reference field="4294967294" count="1" selected="0">
            <x v="0"/>
          </reference>
          <reference field="2" count="1" selected="0">
            <x v="2"/>
          </reference>
        </references>
      </pivotArea>
    </chartFormat>
    <chartFormat chart="20" format="17" series="1">
      <pivotArea type="data" outline="0" fieldPosition="0">
        <references count="2">
          <reference field="4294967294" count="1" selected="0">
            <x v="0"/>
          </reference>
          <reference field="2" count="1" selected="0">
            <x v="3"/>
          </reference>
        </references>
      </pivotArea>
    </chartFormat>
    <chartFormat chart="20" format="18" series="1">
      <pivotArea type="data" outline="0" fieldPosition="0">
        <references count="2">
          <reference field="4294967294" count="1" selected="0">
            <x v="0"/>
          </reference>
          <reference field="2" count="1" selected="0">
            <x v="4"/>
          </reference>
        </references>
      </pivotArea>
    </chartFormat>
    <chartFormat chart="20" format="19" series="1">
      <pivotArea type="data" outline="0" fieldPosition="0">
        <references count="2">
          <reference field="4294967294" count="1" selected="0">
            <x v="0"/>
          </reference>
          <reference field="2" count="1" selected="0">
            <x v="5"/>
          </reference>
        </references>
      </pivotArea>
    </chartFormat>
    <chartFormat chart="20"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48BFDA-95E4-499B-9392-2A07A56A42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10" firstHeaderRow="0" firstDataRow="1" firstDataCol="1"/>
  <pivotFields count="21">
    <pivotField numFmtId="164" showAll="0"/>
    <pivotField showAll="0"/>
    <pivotField showAll="0">
      <items count="8">
        <item x="3"/>
        <item x="2"/>
        <item x="0"/>
        <item x="4"/>
        <item x="1"/>
        <item x="6"/>
        <item x="5"/>
        <item t="default"/>
      </items>
    </pivotField>
    <pivotField dataField="1"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pivotField showAll="0">
      <items count="18">
        <item x="0"/>
        <item x="13"/>
        <item x="2"/>
        <item x="9"/>
        <item x="14"/>
        <item x="12"/>
        <item x="16"/>
        <item x="15"/>
        <item x="4"/>
        <item x="7"/>
        <item x="11"/>
        <item x="8"/>
        <item x="5"/>
        <item x="1"/>
        <item x="3"/>
        <item x="6"/>
        <item x="10"/>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Sum of TotalPrice" fld="9" baseField="0" baseItem="0"/>
    <dataField name="Sum of Quantity" fld="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90ED455-C42B-4E5F-AC9E-E72138F0FC04}" sourceName="Quarter">
  <pivotTables>
    <pivotTable tabId="2" name="PivotTable1"/>
    <pivotTable tabId="4" name="PivotTable2"/>
    <pivotTable tabId="5" name="PivotTable3"/>
    <pivotTable tabId="6" name="PivotTable4"/>
  </pivotTables>
  <data>
    <tabular pivotCacheId="171005460">
      <items count="17">
        <i x="0" s="1"/>
        <i x="13" s="1"/>
        <i x="2" s="1"/>
        <i x="9" s="1"/>
        <i x="14" s="1"/>
        <i x="12" s="1"/>
        <i x="16" s="1"/>
        <i x="15" s="1"/>
        <i x="4" s="1"/>
        <i x="7" s="1"/>
        <i x="11" s="1"/>
        <i x="8" s="1"/>
        <i x="5" s="1"/>
        <i x="1" s="1"/>
        <i x="3"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B0A0121-0267-4584-8005-48F03447EF2F}" sourceName="Salesperson">
  <pivotTables>
    <pivotTable tabId="2" name="PivotTable1"/>
    <pivotTable tabId="4" name="PivotTable2"/>
    <pivotTable tabId="5" name="PivotTable3"/>
    <pivotTable tabId="6" name="PivotTable4"/>
  </pivotTables>
  <data>
    <tabular pivotCacheId="171005460">
      <items count="6">
        <i x="1" s="1"/>
        <i x="5"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3AFAE9-CEBE-48E7-B96D-EFE10B56267A}" sourceName="Product">
  <pivotTables>
    <pivotTable tabId="2" name="PivotTable1"/>
    <pivotTable tabId="4" name="PivotTable2"/>
    <pivotTable tabId="5" name="PivotTable3"/>
    <pivotTable tabId="6" name="PivotTable4"/>
  </pivotTables>
  <data>
    <tabular pivotCacheId="171005460">
      <items count="7">
        <i x="3" s="1"/>
        <i x="2" s="1"/>
        <i x="0" s="1"/>
        <i x="4" s="1"/>
        <i x="1"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3A0B1B-4FE4-4244-A193-81675349F384}" sourceName="Region">
  <pivotTables>
    <pivotTable tabId="2" name="PivotTable1"/>
  </pivotTables>
  <data>
    <tabular pivotCacheId="171005460">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434EC661-6449-4AE7-A52B-25F61CFF8B2F}" cache="Slicer_Quarter" caption="Quarter" startItem="7" rowHeight="247650"/>
  <slicer name="Salesperson" xr10:uid="{6FD6DBDA-A066-4DC4-9036-A25350D9F462}" cache="Slicer_Salesperson" caption="Salesperson" rowHeight="247650"/>
  <slicer name="Product" xr10:uid="{1866375B-30DC-4D38-A1B1-86F865CFD64A}" cache="Slicer_Product" caption="Product" rowHeight="247650"/>
  <slicer name="Region" xr10:uid="{EBBD5AE2-23F4-4454-BF7C-93F894BD1C93}"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B7C98-A3F0-4437-A0E1-3780BD38F595}" name="SalesData" displayName="SalesData" ref="A1:U1501" totalsRowShown="0" headerRowDxfId="7" headerRowBorderDxfId="6" tableBorderDxfId="5">
  <autoFilter ref="A1:U1501" xr:uid="{817B7C98-A3F0-4437-A0E1-3780BD38F595}"/>
  <tableColumns count="21">
    <tableColumn id="1" xr3:uid="{D14A96FD-2EA7-446D-9C97-A2959D007C3C}" name="Date" dataDxfId="4"/>
    <tableColumn id="2" xr3:uid="{2A712B0F-F708-4959-BD10-EB785B24F491}" name="Region"/>
    <tableColumn id="3" xr3:uid="{4C0D6E0D-3F5B-4DFF-9E06-777F12ADD15B}" name="Product"/>
    <tableColumn id="4" xr3:uid="{F580FA37-FE31-4C39-8CA3-E3F102D639A4}" name="Quantity"/>
    <tableColumn id="5" xr3:uid="{276F944B-777A-4629-8E08-1343F58B34E7}" name="UnitPrice"/>
    <tableColumn id="6" xr3:uid="{545DEDBF-D1EF-4284-9D49-C461A6AE343B}" name="StoreLocation"/>
    <tableColumn id="7" xr3:uid="{97ED2561-F5FE-49C8-B168-2616BBD31B02}" name="CustomerType"/>
    <tableColumn id="8" xr3:uid="{1EF3ED34-D9DB-4550-8C10-A4158BF53913}" name="Discount"/>
    <tableColumn id="9" xr3:uid="{06AEC829-C34C-41BD-8F00-05AFBDA8C7A6}" name="Salesperson"/>
    <tableColumn id="10" xr3:uid="{9C2F645C-09BD-4C71-B0DC-1C3CF5FBC683}" name="TotalPrice"/>
    <tableColumn id="11" xr3:uid="{B2B9105A-D384-49FE-B7B9-74F3C23C41BD}" name="PaymentMethod"/>
    <tableColumn id="12" xr3:uid="{1E42C0F7-6D68-4F59-BCE0-BB758BC82692}" name="Promotion"/>
    <tableColumn id="13" xr3:uid="{B7EF8111-6CE6-4A92-A3A4-E4CFD3429981}" name="Returned"/>
    <tableColumn id="14" xr3:uid="{9E6D85DB-EBA2-4807-846D-B9EE3832D8DA}" name="OrderID"/>
    <tableColumn id="15" xr3:uid="{D3FA5CE2-4E1F-4643-AF94-14166606D883}" name="CustomerName"/>
    <tableColumn id="16" xr3:uid="{780E4BC2-50B7-4A58-828A-8903B09F92E4}" name="ShippingCost"/>
    <tableColumn id="17" xr3:uid="{4C9AA8E6-626A-4D34-B185-586442A2B723}" name="OrderDate" dataDxfId="3"/>
    <tableColumn id="18" xr3:uid="{4ABFD898-B74A-48AC-B6BB-AED790E910FE}" name="DeliveryDate" dataDxfId="2"/>
    <tableColumn id="19" xr3:uid="{69341895-967E-4B21-BB00-7ED1A1919229}" name="RegionManager"/>
    <tableColumn id="20" xr3:uid="{AFCCDA1C-C19C-4AC7-8009-211C2F653372}" name="Month" dataDxfId="1">
      <calculatedColumnFormula>TEXT(SalesData[[#This Row],[Date]],"MMM-YYY")</calculatedColumnFormula>
    </tableColumn>
    <tableColumn id="21" xr3:uid="{28A37D5C-4EA2-4D31-B37C-44F0812AAB38}" name="Quarter" dataDxfId="0">
      <calculatedColumnFormula>TEXT(SalesData[[#This Row],[Date]],"YYYY")&amp;"  Q"&amp;INT(MONTH(SalesData[[#This Row],[Date]]/2)+3)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B480-71D0-405C-BBC6-873E7C0C955D}">
  <dimension ref="A3:B34"/>
  <sheetViews>
    <sheetView workbookViewId="0">
      <selection activeCell="R2" sqref="R2"/>
    </sheetView>
  </sheetViews>
  <sheetFormatPr defaultRowHeight="14.4" x14ac:dyDescent="0.3"/>
  <cols>
    <col min="1" max="1" width="13.5546875" bestFit="1" customWidth="1"/>
    <col min="2" max="2" width="17.6640625" bestFit="1" customWidth="1"/>
  </cols>
  <sheetData>
    <row r="3" spans="1:2" x14ac:dyDescent="0.3">
      <c r="A3" s="3" t="s">
        <v>2929</v>
      </c>
      <c r="B3" t="s">
        <v>2961</v>
      </c>
    </row>
    <row r="4" spans="1:2" x14ac:dyDescent="0.3">
      <c r="A4" s="4" t="s">
        <v>2930</v>
      </c>
      <c r="B4">
        <v>149131.44849999994</v>
      </c>
    </row>
    <row r="5" spans="1:2" x14ac:dyDescent="0.3">
      <c r="A5" s="4" t="s">
        <v>2931</v>
      </c>
      <c r="B5">
        <v>165512.2635</v>
      </c>
    </row>
    <row r="6" spans="1:2" x14ac:dyDescent="0.3">
      <c r="A6" s="4" t="s">
        <v>2932</v>
      </c>
      <c r="B6">
        <v>128675.01449999999</v>
      </c>
    </row>
    <row r="7" spans="1:2" x14ac:dyDescent="0.3">
      <c r="A7" s="4" t="s">
        <v>2933</v>
      </c>
      <c r="B7">
        <v>159711.49749999997</v>
      </c>
    </row>
    <row r="8" spans="1:2" x14ac:dyDescent="0.3">
      <c r="A8" s="4" t="s">
        <v>2934</v>
      </c>
      <c r="B8">
        <v>129927.50599999999</v>
      </c>
    </row>
    <row r="9" spans="1:2" x14ac:dyDescent="0.3">
      <c r="A9" s="4" t="s">
        <v>2935</v>
      </c>
      <c r="B9">
        <v>119709.90149999998</v>
      </c>
    </row>
    <row r="10" spans="1:2" x14ac:dyDescent="0.3">
      <c r="A10" s="4" t="s">
        <v>2936</v>
      </c>
      <c r="B10">
        <v>143039.62049999999</v>
      </c>
    </row>
    <row r="11" spans="1:2" x14ac:dyDescent="0.3">
      <c r="A11" s="4" t="s">
        <v>2937</v>
      </c>
      <c r="B11">
        <v>141357.36599999998</v>
      </c>
    </row>
    <row r="12" spans="1:2" x14ac:dyDescent="0.3">
      <c r="A12" s="4" t="s">
        <v>2938</v>
      </c>
      <c r="B12">
        <v>135515.81449999998</v>
      </c>
    </row>
    <row r="13" spans="1:2" x14ac:dyDescent="0.3">
      <c r="A13" s="4" t="s">
        <v>2939</v>
      </c>
      <c r="B13">
        <v>138184.63300000006</v>
      </c>
    </row>
    <row r="14" spans="1:2" x14ac:dyDescent="0.3">
      <c r="A14" s="4" t="s">
        <v>2940</v>
      </c>
      <c r="B14">
        <v>152811.73499999999</v>
      </c>
    </row>
    <row r="15" spans="1:2" x14ac:dyDescent="0.3">
      <c r="A15" s="4" t="s">
        <v>2941</v>
      </c>
      <c r="B15">
        <v>174448.67350000003</v>
      </c>
    </row>
    <row r="16" spans="1:2" x14ac:dyDescent="0.3">
      <c r="A16" s="4" t="s">
        <v>2942</v>
      </c>
      <c r="B16">
        <v>171098.09299999999</v>
      </c>
    </row>
    <row r="17" spans="1:2" x14ac:dyDescent="0.3">
      <c r="A17" s="4" t="s">
        <v>2943</v>
      </c>
      <c r="B17">
        <v>139894.34000000003</v>
      </c>
    </row>
    <row r="18" spans="1:2" x14ac:dyDescent="0.3">
      <c r="A18" s="4" t="s">
        <v>2944</v>
      </c>
      <c r="B18">
        <v>140155.70749999999</v>
      </c>
    </row>
    <row r="19" spans="1:2" x14ac:dyDescent="0.3">
      <c r="A19" s="4" t="s">
        <v>2945</v>
      </c>
      <c r="B19">
        <v>134225.03049999996</v>
      </c>
    </row>
    <row r="20" spans="1:2" x14ac:dyDescent="0.3">
      <c r="A20" s="4" t="s">
        <v>2946</v>
      </c>
      <c r="B20">
        <v>163370.087</v>
      </c>
    </row>
    <row r="21" spans="1:2" x14ac:dyDescent="0.3">
      <c r="A21" s="4" t="s">
        <v>2947</v>
      </c>
      <c r="B21">
        <v>136666.55149999997</v>
      </c>
    </row>
    <row r="22" spans="1:2" x14ac:dyDescent="0.3">
      <c r="A22" s="4" t="s">
        <v>2948</v>
      </c>
      <c r="B22">
        <v>208548.69499999995</v>
      </c>
    </row>
    <row r="23" spans="1:2" x14ac:dyDescent="0.3">
      <c r="A23" s="4" t="s">
        <v>2949</v>
      </c>
      <c r="B23">
        <v>140348.48950000003</v>
      </c>
    </row>
    <row r="24" spans="1:2" x14ac:dyDescent="0.3">
      <c r="A24" s="4" t="s">
        <v>2950</v>
      </c>
      <c r="B24">
        <v>183193.76899999997</v>
      </c>
    </row>
    <row r="25" spans="1:2" x14ac:dyDescent="0.3">
      <c r="A25" s="4" t="s">
        <v>2951</v>
      </c>
      <c r="B25">
        <v>117265.8815</v>
      </c>
    </row>
    <row r="26" spans="1:2" x14ac:dyDescent="0.3">
      <c r="A26" s="4" t="s">
        <v>2952</v>
      </c>
      <c r="B26">
        <v>132792.53300000005</v>
      </c>
    </row>
    <row r="27" spans="1:2" x14ac:dyDescent="0.3">
      <c r="A27" s="4" t="s">
        <v>2953</v>
      </c>
      <c r="B27">
        <v>152349.61099999995</v>
      </c>
    </row>
    <row r="28" spans="1:2" x14ac:dyDescent="0.3">
      <c r="A28" s="4" t="s">
        <v>2954</v>
      </c>
      <c r="B28">
        <v>145156.33499999996</v>
      </c>
    </row>
    <row r="29" spans="1:2" x14ac:dyDescent="0.3">
      <c r="A29" s="4" t="s">
        <v>2955</v>
      </c>
      <c r="B29">
        <v>138174.285</v>
      </c>
    </row>
    <row r="30" spans="1:2" x14ac:dyDescent="0.3">
      <c r="A30" s="4" t="s">
        <v>2956</v>
      </c>
      <c r="B30">
        <v>78445.700500000035</v>
      </c>
    </row>
    <row r="31" spans="1:2" x14ac:dyDescent="0.3">
      <c r="A31" s="4" t="s">
        <v>2957</v>
      </c>
      <c r="B31">
        <v>178167.19649999996</v>
      </c>
    </row>
    <row r="32" spans="1:2" x14ac:dyDescent="0.3">
      <c r="A32" s="4" t="s">
        <v>2958</v>
      </c>
      <c r="B32">
        <v>151612.04550000001</v>
      </c>
    </row>
    <row r="33" spans="1:2" x14ac:dyDescent="0.3">
      <c r="A33" s="4" t="s">
        <v>2959</v>
      </c>
      <c r="B33">
        <v>130502.60349999995</v>
      </c>
    </row>
    <row r="34" spans="1:2" x14ac:dyDescent="0.3">
      <c r="A34" s="4" t="s">
        <v>2960</v>
      </c>
      <c r="B34">
        <v>4379992.4284999995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E034-437E-422E-B16C-D40A284317BB}">
  <dimension ref="A3:B21"/>
  <sheetViews>
    <sheetView workbookViewId="0">
      <selection activeCell="M3" sqref="M3"/>
    </sheetView>
  </sheetViews>
  <sheetFormatPr defaultRowHeight="14.4" x14ac:dyDescent="0.3"/>
  <cols>
    <col min="1" max="1" width="13.5546875" bestFit="1" customWidth="1"/>
    <col min="2" max="2" width="17.6640625" bestFit="1" customWidth="1"/>
  </cols>
  <sheetData>
    <row r="3" spans="1:2" x14ac:dyDescent="0.3">
      <c r="A3" s="3" t="s">
        <v>2929</v>
      </c>
      <c r="B3" t="s">
        <v>2961</v>
      </c>
    </row>
    <row r="4" spans="1:2" x14ac:dyDescent="0.3">
      <c r="A4" s="4" t="s">
        <v>2962</v>
      </c>
      <c r="B4">
        <v>296734.51700000011</v>
      </c>
    </row>
    <row r="5" spans="1:2" x14ac:dyDescent="0.3">
      <c r="A5" s="4" t="s">
        <v>2963</v>
      </c>
      <c r="B5">
        <v>364290.56549999985</v>
      </c>
    </row>
    <row r="6" spans="1:2" x14ac:dyDescent="0.3">
      <c r="A6" s="4" t="s">
        <v>2964</v>
      </c>
      <c r="B6">
        <v>247328.50900000002</v>
      </c>
    </row>
    <row r="7" spans="1:2" x14ac:dyDescent="0.3">
      <c r="A7" s="4" t="s">
        <v>2965</v>
      </c>
      <c r="B7">
        <v>300913.76450000005</v>
      </c>
    </row>
    <row r="8" spans="1:2" x14ac:dyDescent="0.3">
      <c r="A8" s="4" t="s">
        <v>2966</v>
      </c>
      <c r="B8">
        <v>223736.38400000011</v>
      </c>
    </row>
    <row r="9" spans="1:2" x14ac:dyDescent="0.3">
      <c r="A9" s="4" t="s">
        <v>2967</v>
      </c>
      <c r="B9">
        <v>264866.2365</v>
      </c>
    </row>
    <row r="10" spans="1:2" x14ac:dyDescent="0.3">
      <c r="A10" s="4" t="s">
        <v>2968</v>
      </c>
      <c r="B10">
        <v>26274.760999999999</v>
      </c>
    </row>
    <row r="11" spans="1:2" x14ac:dyDescent="0.3">
      <c r="A11" s="4" t="s">
        <v>2969</v>
      </c>
      <c r="B11">
        <v>16177.1855</v>
      </c>
    </row>
    <row r="12" spans="1:2" x14ac:dyDescent="0.3">
      <c r="A12" s="4" t="s">
        <v>2970</v>
      </c>
      <c r="B12">
        <v>313252.97900000011</v>
      </c>
    </row>
    <row r="13" spans="1:2" x14ac:dyDescent="0.3">
      <c r="A13" s="4" t="s">
        <v>2971</v>
      </c>
      <c r="B13">
        <v>276914.94699999999</v>
      </c>
    </row>
    <row r="14" spans="1:2" x14ac:dyDescent="0.3">
      <c r="A14" s="4" t="s">
        <v>2972</v>
      </c>
      <c r="B14">
        <v>305642.74949999986</v>
      </c>
    </row>
    <row r="15" spans="1:2" x14ac:dyDescent="0.3">
      <c r="A15" s="4" t="s">
        <v>2973</v>
      </c>
      <c r="B15">
        <v>253253.47549999997</v>
      </c>
    </row>
    <row r="16" spans="1:2" x14ac:dyDescent="0.3">
      <c r="A16" s="4" t="s">
        <v>2974</v>
      </c>
      <c r="B16">
        <v>321062.4150000001</v>
      </c>
    </row>
    <row r="17" spans="1:2" x14ac:dyDescent="0.3">
      <c r="A17" s="4" t="s">
        <v>2975</v>
      </c>
      <c r="B17">
        <v>259376.26749999999</v>
      </c>
    </row>
    <row r="18" spans="1:2" x14ac:dyDescent="0.3">
      <c r="A18" s="4" t="s">
        <v>2976</v>
      </c>
      <c r="B18">
        <v>311709.78599999973</v>
      </c>
    </row>
    <row r="19" spans="1:2" x14ac:dyDescent="0.3">
      <c r="A19" s="4" t="s">
        <v>2977</v>
      </c>
      <c r="B19">
        <v>310916.48350000009</v>
      </c>
    </row>
    <row r="20" spans="1:2" x14ac:dyDescent="0.3">
      <c r="A20" s="4" t="s">
        <v>2978</v>
      </c>
      <c r="B20">
        <v>287541.40249999991</v>
      </c>
    </row>
    <row r="21" spans="1:2" x14ac:dyDescent="0.3">
      <c r="A21" s="4" t="s">
        <v>2960</v>
      </c>
      <c r="B21">
        <v>4379992.4285000004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F08A-CECC-4B9E-85F7-B6EC6AD57675}">
  <dimension ref="A3:I10"/>
  <sheetViews>
    <sheetView workbookViewId="0">
      <selection activeCell="M10" sqref="M10"/>
    </sheetView>
  </sheetViews>
  <sheetFormatPr defaultRowHeight="14.4" x14ac:dyDescent="0.3"/>
  <cols>
    <col min="1" max="1" width="17.6640625" bestFit="1" customWidth="1"/>
    <col min="2" max="2" width="16.77734375" bestFit="1" customWidth="1"/>
    <col min="3" max="5" width="14.5546875" bestFit="1" customWidth="1"/>
    <col min="6" max="6" width="13.33203125" bestFit="1" customWidth="1"/>
    <col min="7" max="9" width="14.5546875" bestFit="1" customWidth="1"/>
  </cols>
  <sheetData>
    <row r="3" spans="1:9" x14ac:dyDescent="0.3">
      <c r="A3" s="3" t="s">
        <v>2961</v>
      </c>
      <c r="B3" s="3" t="s">
        <v>2979</v>
      </c>
    </row>
    <row r="4" spans="1:9" x14ac:dyDescent="0.3">
      <c r="A4" s="3" t="s">
        <v>2929</v>
      </c>
      <c r="B4" t="s">
        <v>27</v>
      </c>
      <c r="C4" t="s">
        <v>26</v>
      </c>
      <c r="D4" t="s">
        <v>24</v>
      </c>
      <c r="E4" t="s">
        <v>28</v>
      </c>
      <c r="F4" t="s">
        <v>25</v>
      </c>
      <c r="G4" t="s">
        <v>30</v>
      </c>
      <c r="H4" t="s">
        <v>29</v>
      </c>
      <c r="I4" t="s">
        <v>2960</v>
      </c>
    </row>
    <row r="5" spans="1:9" x14ac:dyDescent="0.3">
      <c r="A5" s="4" t="s">
        <v>22</v>
      </c>
      <c r="B5">
        <v>113029.44150000002</v>
      </c>
      <c r="C5">
        <v>110743.92899999997</v>
      </c>
      <c r="D5">
        <v>139219.58000000002</v>
      </c>
      <c r="E5">
        <v>107231.89599999999</v>
      </c>
      <c r="F5">
        <v>72442.82650000001</v>
      </c>
      <c r="G5">
        <v>139174.86749999999</v>
      </c>
      <c r="H5">
        <v>165311.14399999991</v>
      </c>
      <c r="I5">
        <v>847153.68449999997</v>
      </c>
    </row>
    <row r="6" spans="1:9" x14ac:dyDescent="0.3">
      <c r="A6" s="4" t="s">
        <v>19</v>
      </c>
      <c r="B6">
        <v>107210.19449999997</v>
      </c>
      <c r="C6">
        <v>118254.66299999997</v>
      </c>
      <c r="D6">
        <v>135461.4075</v>
      </c>
      <c r="E6">
        <v>121548.13150000002</v>
      </c>
      <c r="F6">
        <v>145231.20299999998</v>
      </c>
      <c r="G6">
        <v>149017.84499999994</v>
      </c>
      <c r="H6">
        <v>106910.27350000002</v>
      </c>
      <c r="I6">
        <v>883633.71799999988</v>
      </c>
    </row>
    <row r="7" spans="1:9" x14ac:dyDescent="0.3">
      <c r="A7" s="4" t="s">
        <v>21</v>
      </c>
      <c r="B7">
        <v>136982.53</v>
      </c>
      <c r="C7">
        <v>170637.98050000001</v>
      </c>
      <c r="D7">
        <v>122643.56599999998</v>
      </c>
      <c r="E7">
        <v>172222.0435</v>
      </c>
      <c r="F7">
        <v>79577.453000000023</v>
      </c>
      <c r="G7">
        <v>128877.22799999996</v>
      </c>
      <c r="H7">
        <v>157017.17899999995</v>
      </c>
      <c r="I7">
        <v>967957.98</v>
      </c>
    </row>
    <row r="8" spans="1:9" x14ac:dyDescent="0.3">
      <c r="A8" s="4" t="s">
        <v>20</v>
      </c>
      <c r="B8">
        <v>150978.04099999997</v>
      </c>
      <c r="C8">
        <v>68565.670999999988</v>
      </c>
      <c r="D8">
        <v>157696.02050000001</v>
      </c>
      <c r="E8">
        <v>101689.4455</v>
      </c>
      <c r="F8">
        <v>121325.69500000005</v>
      </c>
      <c r="G8">
        <v>122090.86499999999</v>
      </c>
      <c r="H8">
        <v>105422.44899999999</v>
      </c>
      <c r="I8">
        <v>827768.18700000003</v>
      </c>
    </row>
    <row r="9" spans="1:9" x14ac:dyDescent="0.3">
      <c r="A9" s="4" t="s">
        <v>23</v>
      </c>
      <c r="B9">
        <v>114389.27099999998</v>
      </c>
      <c r="C9">
        <v>87064.421000000002</v>
      </c>
      <c r="D9">
        <v>129396.6675</v>
      </c>
      <c r="E9">
        <v>148937.87599999999</v>
      </c>
      <c r="F9">
        <v>78585.673500000004</v>
      </c>
      <c r="G9">
        <v>145226.60999999996</v>
      </c>
      <c r="H9">
        <v>149878.34</v>
      </c>
      <c r="I9">
        <v>853478.85899999994</v>
      </c>
    </row>
    <row r="10" spans="1:9" x14ac:dyDescent="0.3">
      <c r="A10" s="4" t="s">
        <v>2960</v>
      </c>
      <c r="B10">
        <v>622589.47799999989</v>
      </c>
      <c r="C10">
        <v>555266.66449999996</v>
      </c>
      <c r="D10">
        <v>684417.2415</v>
      </c>
      <c r="E10">
        <v>651629.39250000007</v>
      </c>
      <c r="F10">
        <v>497162.85100000014</v>
      </c>
      <c r="G10">
        <v>684387.41549999977</v>
      </c>
      <c r="H10">
        <v>684539.38549999986</v>
      </c>
      <c r="I10">
        <v>4379992.4284999995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EB3A-95C7-4833-A16A-7A3D16A9FAE4}">
  <dimension ref="A3:C10"/>
  <sheetViews>
    <sheetView workbookViewId="0">
      <selection activeCell="M7" sqref="M7"/>
    </sheetView>
  </sheetViews>
  <sheetFormatPr defaultRowHeight="14.4" x14ac:dyDescent="0.3"/>
  <cols>
    <col min="1" max="1" width="13.5546875" bestFit="1" customWidth="1"/>
    <col min="2" max="2" width="17.6640625" bestFit="1" customWidth="1"/>
    <col min="3" max="3" width="16.21875" bestFit="1" customWidth="1"/>
  </cols>
  <sheetData>
    <row r="3" spans="1:3" x14ac:dyDescent="0.3">
      <c r="A3" s="3" t="s">
        <v>2929</v>
      </c>
      <c r="B3" t="s">
        <v>2961</v>
      </c>
      <c r="C3" t="s">
        <v>2980</v>
      </c>
    </row>
    <row r="4" spans="1:3" x14ac:dyDescent="0.3">
      <c r="A4" s="4" t="s">
        <v>38</v>
      </c>
      <c r="B4">
        <v>786165.8400000002</v>
      </c>
      <c r="C4">
        <v>2732</v>
      </c>
    </row>
    <row r="5" spans="1:3" x14ac:dyDescent="0.3">
      <c r="A5" s="4" t="s">
        <v>42</v>
      </c>
      <c r="B5">
        <v>796780.52149999957</v>
      </c>
      <c r="C5">
        <v>2661</v>
      </c>
    </row>
    <row r="6" spans="1:3" x14ac:dyDescent="0.3">
      <c r="A6" s="4" t="s">
        <v>40</v>
      </c>
      <c r="B6">
        <v>707166.71600000071</v>
      </c>
      <c r="C6">
        <v>2699</v>
      </c>
    </row>
    <row r="7" spans="1:3" x14ac:dyDescent="0.3">
      <c r="A7" s="4" t="s">
        <v>41</v>
      </c>
      <c r="B7">
        <v>676568.2495000005</v>
      </c>
      <c r="C7">
        <v>2548</v>
      </c>
    </row>
    <row r="8" spans="1:3" x14ac:dyDescent="0.3">
      <c r="A8" s="4" t="s">
        <v>37</v>
      </c>
      <c r="B8">
        <v>698669.57950000011</v>
      </c>
      <c r="C8">
        <v>2452</v>
      </c>
    </row>
    <row r="9" spans="1:3" x14ac:dyDescent="0.3">
      <c r="A9" s="4" t="s">
        <v>39</v>
      </c>
      <c r="B9">
        <v>714641.52200000035</v>
      </c>
      <c r="C9">
        <v>2524</v>
      </c>
    </row>
    <row r="10" spans="1:3" x14ac:dyDescent="0.3">
      <c r="A10" s="4" t="s">
        <v>2960</v>
      </c>
      <c r="B10">
        <v>4379992.4285000013</v>
      </c>
      <c r="C10">
        <v>15616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opLeftCell="A2" zoomScale="98" workbookViewId="0">
      <selection activeCell="U3" sqref="U3"/>
    </sheetView>
  </sheetViews>
  <sheetFormatPr defaultRowHeight="14.4" x14ac:dyDescent="0.3"/>
  <cols>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1.88671875" customWidth="1"/>
    <col min="13" max="13" width="10.6640625" customWidth="1"/>
    <col min="14" max="14" width="9.44140625" customWidth="1"/>
    <col min="15" max="15" width="16" customWidth="1"/>
    <col min="16" max="16" width="13.88671875" customWidth="1"/>
    <col min="17" max="17" width="11.5546875" customWidth="1"/>
    <col min="18" max="18" width="13.5546875" customWidth="1"/>
    <col min="19" max="19" width="16.21875" customWidth="1"/>
    <col min="20" max="20" width="17.109375" customWidth="1"/>
    <col min="21" max="21" width="23" customWidth="1"/>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2927</v>
      </c>
      <c r="U1" s="2" t="s">
        <v>2928</v>
      </c>
    </row>
    <row r="2" spans="1:21"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c r="T2" t="str">
        <f>TEXT(SalesData[[#This Row],[Date]],"MMM-YYY")</f>
        <v>Feb-2023</v>
      </c>
      <c r="U2" t="str">
        <f>TEXT(SalesData[[#This Row],[Date]],"YYYY")&amp;"  Q"&amp;INT(MONTH(SalesData[[#This Row],[Date]]/2)+3)</f>
        <v>2023  Q10</v>
      </c>
    </row>
    <row r="3" spans="1:21"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c r="T3" t="str">
        <f>TEXT(SalesData[[#This Row],[Date]],"MMM-YYY")</f>
        <v>Dec-2024</v>
      </c>
      <c r="U3" t="str">
        <f>TEXT(SalesData[[#This Row],[Date]],"YYYY")&amp;"  Q"&amp;INT(MONTH(SalesData[[#This Row],[Date]]/2)+3)</f>
        <v>2024  Q9</v>
      </c>
    </row>
    <row r="4" spans="1:21"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c r="T4" t="str">
        <f>TEXT(SalesData[[#This Row],[Date]],"MMM-YYY")</f>
        <v>May-2023</v>
      </c>
      <c r="U4" t="str">
        <f>TEXT(SalesData[[#This Row],[Date]],"YYYY")&amp;"  Q"&amp;INT(MONTH(SalesData[[#This Row],[Date]]/2)+3)</f>
        <v>2023  Q12</v>
      </c>
    </row>
    <row r="5" spans="1:21"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c r="T5" t="str">
        <f>TEXT(SalesData[[#This Row],[Date]],"MMM-YYY")</f>
        <v>Feb-2025</v>
      </c>
      <c r="U5" t="str">
        <f>TEXT(SalesData[[#This Row],[Date]],"YYYY")&amp;"  Q"&amp;INT(MONTH(SalesData[[#This Row],[Date]]/2)+3)</f>
        <v>2025  Q10</v>
      </c>
    </row>
    <row r="6" spans="1:21"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c r="T6" t="str">
        <f>TEXT(SalesData[[#This Row],[Date]],"MMM-YYY")</f>
        <v>Jun-2023</v>
      </c>
      <c r="U6" t="str">
        <f>TEXT(SalesData[[#This Row],[Date]],"YYYY")&amp;"  Q"&amp;INT(MONTH(SalesData[[#This Row],[Date]]/2)+3)</f>
        <v>2023  Q12</v>
      </c>
    </row>
    <row r="7" spans="1:21"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c r="T7" t="str">
        <f>TEXT(SalesData[[#This Row],[Date]],"MMM-YYY")</f>
        <v>Feb-2024</v>
      </c>
      <c r="U7" t="str">
        <f>TEXT(SalesData[[#This Row],[Date]],"YYYY")&amp;"  Q"&amp;INT(MONTH(SalesData[[#This Row],[Date]]/2)+3)</f>
        <v>2024  Q4</v>
      </c>
    </row>
    <row r="8" spans="1:21"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c r="T8" t="str">
        <f>TEXT(SalesData[[#This Row],[Date]],"MMM-YYY")</f>
        <v>Jan-2023</v>
      </c>
      <c r="U8" t="str">
        <f>TEXT(SalesData[[#This Row],[Date]],"YYYY")&amp;"  Q"&amp;INT(MONTH(SalesData[[#This Row],[Date]]/2)+3)</f>
        <v>2023  Q10</v>
      </c>
    </row>
    <row r="9" spans="1:21"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c r="T9" t="str">
        <f>TEXT(SalesData[[#This Row],[Date]],"MMM-YYY")</f>
        <v>Jan-2023</v>
      </c>
      <c r="U9" t="str">
        <f>TEXT(SalesData[[#This Row],[Date]],"YYYY")&amp;"  Q"&amp;INT(MONTH(SalesData[[#This Row],[Date]]/2)+3)</f>
        <v>2023  Q10</v>
      </c>
    </row>
    <row r="10" spans="1:21"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c r="T10" t="str">
        <f>TEXT(SalesData[[#This Row],[Date]],"MMM-YYY")</f>
        <v>Oct-2024</v>
      </c>
      <c r="U10" t="str">
        <f>TEXT(SalesData[[#This Row],[Date]],"YYYY")&amp;"  Q"&amp;INT(MONTH(SalesData[[#This Row],[Date]]/2)+3)</f>
        <v>2024  Q8</v>
      </c>
    </row>
    <row r="11" spans="1:21"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c r="T11" t="str">
        <f>TEXT(SalesData[[#This Row],[Date]],"MMM-YYY")</f>
        <v>Mar-2025</v>
      </c>
      <c r="U11" t="str">
        <f>TEXT(SalesData[[#This Row],[Date]],"YYYY")&amp;"  Q"&amp;INT(MONTH(SalesData[[#This Row],[Date]]/2)+3)</f>
        <v>2025  Q11</v>
      </c>
    </row>
    <row r="12" spans="1:21"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c r="T12" t="str">
        <f>TEXT(SalesData[[#This Row],[Date]],"MMM-YYY")</f>
        <v>Apr-2024</v>
      </c>
      <c r="U12" t="str">
        <f>TEXT(SalesData[[#This Row],[Date]],"YYYY")&amp;"  Q"&amp;INT(MONTH(SalesData[[#This Row],[Date]]/2)+3)</f>
        <v>2024  Q5</v>
      </c>
    </row>
    <row r="13" spans="1:21"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c r="T13" t="str">
        <f>TEXT(SalesData[[#This Row],[Date]],"MMM-YYY")</f>
        <v>Jul-2024</v>
      </c>
      <c r="U13" t="str">
        <f>TEXT(SalesData[[#This Row],[Date]],"YYYY")&amp;"  Q"&amp;INT(MONTH(SalesData[[#This Row],[Date]]/2)+3)</f>
        <v>2024  Q7</v>
      </c>
    </row>
    <row r="14" spans="1:21"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c r="T14" t="str">
        <f>TEXT(SalesData[[#This Row],[Date]],"MMM-YYY")</f>
        <v>Jul-2023</v>
      </c>
      <c r="U14" t="str">
        <f>TEXT(SalesData[[#This Row],[Date]],"YYYY")&amp;"  Q"&amp;INT(MONTH(SalesData[[#This Row],[Date]]/2)+3)</f>
        <v>2023  Q13</v>
      </c>
    </row>
    <row r="15" spans="1:21"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c r="T15" t="str">
        <f>TEXT(SalesData[[#This Row],[Date]],"MMM-YYY")</f>
        <v>Jan-2025</v>
      </c>
      <c r="U15" t="str">
        <f>TEXT(SalesData[[#This Row],[Date]],"YYYY")&amp;"  Q"&amp;INT(MONTH(SalesData[[#This Row],[Date]]/2)+3)</f>
        <v>2025  Q10</v>
      </c>
    </row>
    <row r="16" spans="1:21"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c r="T16" t="str">
        <f>TEXT(SalesData[[#This Row],[Date]],"MMM-YYY")</f>
        <v>Dec-2024</v>
      </c>
      <c r="U16" t="str">
        <f>TEXT(SalesData[[#This Row],[Date]],"YYYY")&amp;"  Q"&amp;INT(MONTH(SalesData[[#This Row],[Date]]/2)+3)</f>
        <v>2024  Q9</v>
      </c>
    </row>
    <row r="17" spans="1:21"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c r="T17" t="str">
        <f>TEXT(SalesData[[#This Row],[Date]],"MMM-YYY")</f>
        <v>May-2025</v>
      </c>
      <c r="U17" t="str">
        <f>TEXT(SalesData[[#This Row],[Date]],"YYYY")&amp;"  Q"&amp;INT(MONTH(SalesData[[#This Row],[Date]]/2)+3)</f>
        <v>2025  Q12</v>
      </c>
    </row>
    <row r="18" spans="1:21"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c r="T18" t="str">
        <f>TEXT(SalesData[[#This Row],[Date]],"MMM-YYY")</f>
        <v>Feb-2023</v>
      </c>
      <c r="U18" t="str">
        <f>TEXT(SalesData[[#This Row],[Date]],"YYYY")&amp;"  Q"&amp;INT(MONTH(SalesData[[#This Row],[Date]]/2)+3)</f>
        <v>2023  Q10</v>
      </c>
    </row>
    <row r="19" spans="1:21"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c r="T19" t="str">
        <f>TEXT(SalesData[[#This Row],[Date]],"MMM-YYY")</f>
        <v>May-2024</v>
      </c>
      <c r="U19" t="str">
        <f>TEXT(SalesData[[#This Row],[Date]],"YYYY")&amp;"  Q"&amp;INT(MONTH(SalesData[[#This Row],[Date]]/2)+3)</f>
        <v>2024  Q6</v>
      </c>
    </row>
    <row r="20" spans="1:21"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c r="T20" t="str">
        <f>TEXT(SalesData[[#This Row],[Date]],"MMM-YYY")</f>
        <v>Nov-2023</v>
      </c>
      <c r="U20" t="str">
        <f>TEXT(SalesData[[#This Row],[Date]],"YYYY")&amp;"  Q"&amp;INT(MONTH(SalesData[[#This Row],[Date]]/2)+3)</f>
        <v>2023  Q15</v>
      </c>
    </row>
    <row r="21" spans="1:21"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c r="T21" t="str">
        <f>TEXT(SalesData[[#This Row],[Date]],"MMM-YYY")</f>
        <v>Jun-2023</v>
      </c>
      <c r="U21" t="str">
        <f>TEXT(SalesData[[#This Row],[Date]],"YYYY")&amp;"  Q"&amp;INT(MONTH(SalesData[[#This Row],[Date]]/2)+3)</f>
        <v>2023  Q12</v>
      </c>
    </row>
    <row r="22" spans="1:21"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c r="T22" t="str">
        <f>TEXT(SalesData[[#This Row],[Date]],"MMM-YYY")</f>
        <v>Jun-2025</v>
      </c>
      <c r="U22" t="str">
        <f>TEXT(SalesData[[#This Row],[Date]],"YYYY")&amp;"  Q"&amp;INT(MONTH(SalesData[[#This Row],[Date]]/2)+3)</f>
        <v>2025  Q12</v>
      </c>
    </row>
    <row r="23" spans="1:21"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c r="T23" t="str">
        <f>TEXT(SalesData[[#This Row],[Date]],"MMM-YYY")</f>
        <v>Mar-2023</v>
      </c>
      <c r="U23" t="str">
        <f>TEXT(SalesData[[#This Row],[Date]],"YYYY")&amp;"  Q"&amp;INT(MONTH(SalesData[[#This Row],[Date]]/2)+3)</f>
        <v>2023  Q11</v>
      </c>
    </row>
    <row r="24" spans="1:21"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c r="T24" t="str">
        <f>TEXT(SalesData[[#This Row],[Date]],"MMM-YYY")</f>
        <v>Feb-2024</v>
      </c>
      <c r="U24" t="str">
        <f>TEXT(SalesData[[#This Row],[Date]],"YYYY")&amp;"  Q"&amp;INT(MONTH(SalesData[[#This Row],[Date]]/2)+3)</f>
        <v>2024  Q4</v>
      </c>
    </row>
    <row r="25" spans="1:21"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c r="T25" t="str">
        <f>TEXT(SalesData[[#This Row],[Date]],"MMM-YYY")</f>
        <v>Aug-2023</v>
      </c>
      <c r="U25" t="str">
        <f>TEXT(SalesData[[#This Row],[Date]],"YYYY")&amp;"  Q"&amp;INT(MONTH(SalesData[[#This Row],[Date]]/2)+3)</f>
        <v>2023  Q13</v>
      </c>
    </row>
    <row r="26" spans="1:21"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c r="T26" t="str">
        <f>TEXT(SalesData[[#This Row],[Date]],"MMM-YYY")</f>
        <v>May-2024</v>
      </c>
      <c r="U26" t="str">
        <f>TEXT(SalesData[[#This Row],[Date]],"YYYY")&amp;"  Q"&amp;INT(MONTH(SalesData[[#This Row],[Date]]/2)+3)</f>
        <v>2024  Q6</v>
      </c>
    </row>
    <row r="27" spans="1:21"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c r="T27" t="str">
        <f>TEXT(SalesData[[#This Row],[Date]],"MMM-YYY")</f>
        <v>Oct-2023</v>
      </c>
      <c r="U27" t="str">
        <f>TEXT(SalesData[[#This Row],[Date]],"YYYY")&amp;"  Q"&amp;INT(MONTH(SalesData[[#This Row],[Date]]/2)+3)</f>
        <v>2023  Q14</v>
      </c>
    </row>
    <row r="28" spans="1:21"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c r="T28" t="str">
        <f>TEXT(SalesData[[#This Row],[Date]],"MMM-YYY")</f>
        <v>Jun-2025</v>
      </c>
      <c r="U28" t="str">
        <f>TEXT(SalesData[[#This Row],[Date]],"YYYY")&amp;"  Q"&amp;INT(MONTH(SalesData[[#This Row],[Date]]/2)+3)</f>
        <v>2025  Q12</v>
      </c>
    </row>
    <row r="29" spans="1:21"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c r="T29" t="str">
        <f>TEXT(SalesData[[#This Row],[Date]],"MMM-YYY")</f>
        <v>Mar-2023</v>
      </c>
      <c r="U29" t="str">
        <f>TEXT(SalesData[[#This Row],[Date]],"YYYY")&amp;"  Q"&amp;INT(MONTH(SalesData[[#This Row],[Date]]/2)+3)</f>
        <v>2023  Q11</v>
      </c>
    </row>
    <row r="30" spans="1:21"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c r="T30" t="str">
        <f>TEXT(SalesData[[#This Row],[Date]],"MMM-YYY")</f>
        <v>Nov-2024</v>
      </c>
      <c r="U30" t="str">
        <f>TEXT(SalesData[[#This Row],[Date]],"YYYY")&amp;"  Q"&amp;INT(MONTH(SalesData[[#This Row],[Date]]/2)+3)</f>
        <v>2024  Q9</v>
      </c>
    </row>
    <row r="31" spans="1:21"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c r="T31" t="str">
        <f>TEXT(SalesData[[#This Row],[Date]],"MMM-YYY")</f>
        <v>May-2023</v>
      </c>
      <c r="U31" t="str">
        <f>TEXT(SalesData[[#This Row],[Date]],"YYYY")&amp;"  Q"&amp;INT(MONTH(SalesData[[#This Row],[Date]]/2)+3)</f>
        <v>2023  Q12</v>
      </c>
    </row>
    <row r="32" spans="1:21"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c r="T32" t="str">
        <f>TEXT(SalesData[[#This Row],[Date]],"MMM-YYY")</f>
        <v>Dec-2024</v>
      </c>
      <c r="U32" t="str">
        <f>TEXT(SalesData[[#This Row],[Date]],"YYYY")&amp;"  Q"&amp;INT(MONTH(SalesData[[#This Row],[Date]]/2)+3)</f>
        <v>2024  Q9</v>
      </c>
    </row>
    <row r="33" spans="1:21"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c r="T33" t="str">
        <f>TEXT(SalesData[[#This Row],[Date]],"MMM-YYY")</f>
        <v>Feb-2024</v>
      </c>
      <c r="U33" t="str">
        <f>TEXT(SalesData[[#This Row],[Date]],"YYYY")&amp;"  Q"&amp;INT(MONTH(SalesData[[#This Row],[Date]]/2)+3)</f>
        <v>2024  Q4</v>
      </c>
    </row>
    <row r="34" spans="1:21"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c r="T34" t="str">
        <f>TEXT(SalesData[[#This Row],[Date]],"MMM-YYY")</f>
        <v>Mar-2025</v>
      </c>
      <c r="U34" t="str">
        <f>TEXT(SalesData[[#This Row],[Date]],"YYYY")&amp;"  Q"&amp;INT(MONTH(SalesData[[#This Row],[Date]]/2)+3)</f>
        <v>2025  Q11</v>
      </c>
    </row>
    <row r="35" spans="1:21"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c r="T35" t="str">
        <f>TEXT(SalesData[[#This Row],[Date]],"MMM-YYY")</f>
        <v>Apr-2023</v>
      </c>
      <c r="U35" t="str">
        <f>TEXT(SalesData[[#This Row],[Date]],"YYYY")&amp;"  Q"&amp;INT(MONTH(SalesData[[#This Row],[Date]]/2)+3)</f>
        <v>2023  Q11</v>
      </c>
    </row>
    <row r="36" spans="1:21"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c r="T36" t="str">
        <f>TEXT(SalesData[[#This Row],[Date]],"MMM-YYY")</f>
        <v>May-2025</v>
      </c>
      <c r="U36" t="str">
        <f>TEXT(SalesData[[#This Row],[Date]],"YYYY")&amp;"  Q"&amp;INT(MONTH(SalesData[[#This Row],[Date]]/2)+3)</f>
        <v>2025  Q12</v>
      </c>
    </row>
    <row r="37" spans="1:21"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c r="T37" t="str">
        <f>TEXT(SalesData[[#This Row],[Date]],"MMM-YYY")</f>
        <v>Sep-2023</v>
      </c>
      <c r="U37" t="str">
        <f>TEXT(SalesData[[#This Row],[Date]],"YYYY")&amp;"  Q"&amp;INT(MONTH(SalesData[[#This Row],[Date]]/2)+3)</f>
        <v>2023  Q14</v>
      </c>
    </row>
    <row r="38" spans="1:21"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c r="T38" t="str">
        <f>TEXT(SalesData[[#This Row],[Date]],"MMM-YYY")</f>
        <v>Mar-2025</v>
      </c>
      <c r="U38" t="str">
        <f>TEXT(SalesData[[#This Row],[Date]],"YYYY")&amp;"  Q"&amp;INT(MONTH(SalesData[[#This Row],[Date]]/2)+3)</f>
        <v>2025  Q11</v>
      </c>
    </row>
    <row r="39" spans="1:21"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c r="T39" t="str">
        <f>TEXT(SalesData[[#This Row],[Date]],"MMM-YYY")</f>
        <v>Jun-2025</v>
      </c>
      <c r="U39" t="str">
        <f>TEXT(SalesData[[#This Row],[Date]],"YYYY")&amp;"  Q"&amp;INT(MONTH(SalesData[[#This Row],[Date]]/2)+3)</f>
        <v>2025  Q12</v>
      </c>
    </row>
    <row r="40" spans="1:21"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c r="T40" t="str">
        <f>TEXT(SalesData[[#This Row],[Date]],"MMM-YYY")</f>
        <v>Feb-2024</v>
      </c>
      <c r="U40" t="str">
        <f>TEXT(SalesData[[#This Row],[Date]],"YYYY")&amp;"  Q"&amp;INT(MONTH(SalesData[[#This Row],[Date]]/2)+3)</f>
        <v>2024  Q4</v>
      </c>
    </row>
    <row r="41" spans="1:21"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c r="T41" t="str">
        <f>TEXT(SalesData[[#This Row],[Date]],"MMM-YYY")</f>
        <v>Jun-2023</v>
      </c>
      <c r="U41" t="str">
        <f>TEXT(SalesData[[#This Row],[Date]],"YYYY")&amp;"  Q"&amp;INT(MONTH(SalesData[[#This Row],[Date]]/2)+3)</f>
        <v>2023  Q12</v>
      </c>
    </row>
    <row r="42" spans="1:21"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c r="T42" t="str">
        <f>TEXT(SalesData[[#This Row],[Date]],"MMM-YYY")</f>
        <v>Aug-2023</v>
      </c>
      <c r="U42" t="str">
        <f>TEXT(SalesData[[#This Row],[Date]],"YYYY")&amp;"  Q"&amp;INT(MONTH(SalesData[[#This Row],[Date]]/2)+3)</f>
        <v>2023  Q13</v>
      </c>
    </row>
    <row r="43" spans="1:21"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c r="T43" t="str">
        <f>TEXT(SalesData[[#This Row],[Date]],"MMM-YYY")</f>
        <v>Jun-2024</v>
      </c>
      <c r="U43" t="str">
        <f>TEXT(SalesData[[#This Row],[Date]],"YYYY")&amp;"  Q"&amp;INT(MONTH(SalesData[[#This Row],[Date]]/2)+3)</f>
        <v>2024  Q6</v>
      </c>
    </row>
    <row r="44" spans="1:21"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c r="T44" t="str">
        <f>TEXT(SalesData[[#This Row],[Date]],"MMM-YYY")</f>
        <v>Jul-2023</v>
      </c>
      <c r="U44" t="str">
        <f>TEXT(SalesData[[#This Row],[Date]],"YYYY")&amp;"  Q"&amp;INT(MONTH(SalesData[[#This Row],[Date]]/2)+3)</f>
        <v>2023  Q13</v>
      </c>
    </row>
    <row r="45" spans="1:21"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c r="T45" t="str">
        <f>TEXT(SalesData[[#This Row],[Date]],"MMM-YYY")</f>
        <v>May-2023</v>
      </c>
      <c r="U45" t="str">
        <f>TEXT(SalesData[[#This Row],[Date]],"YYYY")&amp;"  Q"&amp;INT(MONTH(SalesData[[#This Row],[Date]]/2)+3)</f>
        <v>2023  Q12</v>
      </c>
    </row>
    <row r="46" spans="1:21"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c r="T46" t="str">
        <f>TEXT(SalesData[[#This Row],[Date]],"MMM-YYY")</f>
        <v>Jun-2023</v>
      </c>
      <c r="U46" t="str">
        <f>TEXT(SalesData[[#This Row],[Date]],"YYYY")&amp;"  Q"&amp;INT(MONTH(SalesData[[#This Row],[Date]]/2)+3)</f>
        <v>2023  Q12</v>
      </c>
    </row>
    <row r="47" spans="1:21"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c r="T47" t="str">
        <f>TEXT(SalesData[[#This Row],[Date]],"MMM-YYY")</f>
        <v>Jun-2024</v>
      </c>
      <c r="U47" t="str">
        <f>TEXT(SalesData[[#This Row],[Date]],"YYYY")&amp;"  Q"&amp;INT(MONTH(SalesData[[#This Row],[Date]]/2)+3)</f>
        <v>2024  Q6</v>
      </c>
    </row>
    <row r="48" spans="1:21"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c r="T48" t="str">
        <f>TEXT(SalesData[[#This Row],[Date]],"MMM-YYY")</f>
        <v>Feb-2025</v>
      </c>
      <c r="U48" t="str">
        <f>TEXT(SalesData[[#This Row],[Date]],"YYYY")&amp;"  Q"&amp;INT(MONTH(SalesData[[#This Row],[Date]]/2)+3)</f>
        <v>2025  Q10</v>
      </c>
    </row>
    <row r="49" spans="1:21"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c r="T49" t="str">
        <f>TEXT(SalesData[[#This Row],[Date]],"MMM-YYY")</f>
        <v>Jan-2024</v>
      </c>
      <c r="U49" t="str">
        <f>TEXT(SalesData[[#This Row],[Date]],"YYYY")&amp;"  Q"&amp;INT(MONTH(SalesData[[#This Row],[Date]]/2)+3)</f>
        <v>2024  Q4</v>
      </c>
    </row>
    <row r="50" spans="1:21"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c r="T50" t="str">
        <f>TEXT(SalesData[[#This Row],[Date]],"MMM-YYY")</f>
        <v>Mar-2024</v>
      </c>
      <c r="U50" t="str">
        <f>TEXT(SalesData[[#This Row],[Date]],"YYYY")&amp;"  Q"&amp;INT(MONTH(SalesData[[#This Row],[Date]]/2)+3)</f>
        <v>2024  Q5</v>
      </c>
    </row>
    <row r="51" spans="1:21"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c r="T51" t="str">
        <f>TEXT(SalesData[[#This Row],[Date]],"MMM-YYY")</f>
        <v>Sep-2024</v>
      </c>
      <c r="U51" t="str">
        <f>TEXT(SalesData[[#This Row],[Date]],"YYYY")&amp;"  Q"&amp;INT(MONTH(SalesData[[#This Row],[Date]]/2)+3)</f>
        <v>2024  Q8</v>
      </c>
    </row>
    <row r="52" spans="1:21"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c r="T52" t="str">
        <f>TEXT(SalesData[[#This Row],[Date]],"MMM-YYY")</f>
        <v>Mar-2023</v>
      </c>
      <c r="U52" t="str">
        <f>TEXT(SalesData[[#This Row],[Date]],"YYYY")&amp;"  Q"&amp;INT(MONTH(SalesData[[#This Row],[Date]]/2)+3)</f>
        <v>2023  Q11</v>
      </c>
    </row>
    <row r="53" spans="1:21"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c r="T53" t="str">
        <f>TEXT(SalesData[[#This Row],[Date]],"MMM-YYY")</f>
        <v>Jan-2025</v>
      </c>
      <c r="U53" t="str">
        <f>TEXT(SalesData[[#This Row],[Date]],"YYYY")&amp;"  Q"&amp;INT(MONTH(SalesData[[#This Row],[Date]]/2)+3)</f>
        <v>2025  Q10</v>
      </c>
    </row>
    <row r="54" spans="1:21"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c r="T54" t="str">
        <f>TEXT(SalesData[[#This Row],[Date]],"MMM-YYY")</f>
        <v>Sep-2024</v>
      </c>
      <c r="U54" t="str">
        <f>TEXT(SalesData[[#This Row],[Date]],"YYYY")&amp;"  Q"&amp;INT(MONTH(SalesData[[#This Row],[Date]]/2)+3)</f>
        <v>2024  Q8</v>
      </c>
    </row>
    <row r="55" spans="1:21"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c r="T55" t="str">
        <f>TEXT(SalesData[[#This Row],[Date]],"MMM-YYY")</f>
        <v>Jan-2024</v>
      </c>
      <c r="U55" t="str">
        <f>TEXT(SalesData[[#This Row],[Date]],"YYYY")&amp;"  Q"&amp;INT(MONTH(SalesData[[#This Row],[Date]]/2)+3)</f>
        <v>2024  Q4</v>
      </c>
    </row>
    <row r="56" spans="1:21"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c r="T56" t="str">
        <f>TEXT(SalesData[[#This Row],[Date]],"MMM-YYY")</f>
        <v>Apr-2024</v>
      </c>
      <c r="U56" t="str">
        <f>TEXT(SalesData[[#This Row],[Date]],"YYYY")&amp;"  Q"&amp;INT(MONTH(SalesData[[#This Row],[Date]]/2)+3)</f>
        <v>2024  Q5</v>
      </c>
    </row>
    <row r="57" spans="1:21"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c r="T57" t="str">
        <f>TEXT(SalesData[[#This Row],[Date]],"MMM-YYY")</f>
        <v>Jun-2025</v>
      </c>
      <c r="U57" t="str">
        <f>TEXT(SalesData[[#This Row],[Date]],"YYYY")&amp;"  Q"&amp;INT(MONTH(SalesData[[#This Row],[Date]]/2)+3)</f>
        <v>2025  Q12</v>
      </c>
    </row>
    <row r="58" spans="1:21"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c r="T58" t="str">
        <f>TEXT(SalesData[[#This Row],[Date]],"MMM-YYY")</f>
        <v>Mar-2025</v>
      </c>
      <c r="U58" t="str">
        <f>TEXT(SalesData[[#This Row],[Date]],"YYYY")&amp;"  Q"&amp;INT(MONTH(SalesData[[#This Row],[Date]]/2)+3)</f>
        <v>2025  Q11</v>
      </c>
    </row>
    <row r="59" spans="1:21"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c r="T59" t="str">
        <f>TEXT(SalesData[[#This Row],[Date]],"MMM-YYY")</f>
        <v>May-2023</v>
      </c>
      <c r="U59" t="str">
        <f>TEXT(SalesData[[#This Row],[Date]],"YYYY")&amp;"  Q"&amp;INT(MONTH(SalesData[[#This Row],[Date]]/2)+3)</f>
        <v>2023  Q12</v>
      </c>
    </row>
    <row r="60" spans="1:21"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c r="T60" t="str">
        <f>TEXT(SalesData[[#This Row],[Date]],"MMM-YYY")</f>
        <v>Jan-2023</v>
      </c>
      <c r="U60" t="str">
        <f>TEXT(SalesData[[#This Row],[Date]],"YYYY")&amp;"  Q"&amp;INT(MONTH(SalesData[[#This Row],[Date]]/2)+3)</f>
        <v>2023  Q10</v>
      </c>
    </row>
    <row r="61" spans="1:21"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c r="T61" t="str">
        <f>TEXT(SalesData[[#This Row],[Date]],"MMM-YYY")</f>
        <v>Mar-2024</v>
      </c>
      <c r="U61" t="str">
        <f>TEXT(SalesData[[#This Row],[Date]],"YYYY")&amp;"  Q"&amp;INT(MONTH(SalesData[[#This Row],[Date]]/2)+3)</f>
        <v>2024  Q5</v>
      </c>
    </row>
    <row r="62" spans="1:21"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c r="T62" t="str">
        <f>TEXT(SalesData[[#This Row],[Date]],"MMM-YYY")</f>
        <v>Jan-2025</v>
      </c>
      <c r="U62" t="str">
        <f>TEXT(SalesData[[#This Row],[Date]],"YYYY")&amp;"  Q"&amp;INT(MONTH(SalesData[[#This Row],[Date]]/2)+3)</f>
        <v>2025  Q10</v>
      </c>
    </row>
    <row r="63" spans="1:21"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c r="T63" t="str">
        <f>TEXT(SalesData[[#This Row],[Date]],"MMM-YYY")</f>
        <v>Jun-2023</v>
      </c>
      <c r="U63" t="str">
        <f>TEXT(SalesData[[#This Row],[Date]],"YYYY")&amp;"  Q"&amp;INT(MONTH(SalesData[[#This Row],[Date]]/2)+3)</f>
        <v>2023  Q12</v>
      </c>
    </row>
    <row r="64" spans="1:21"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c r="T64" t="str">
        <f>TEXT(SalesData[[#This Row],[Date]],"MMM-YYY")</f>
        <v>Mar-2025</v>
      </c>
      <c r="U64" t="str">
        <f>TEXT(SalesData[[#This Row],[Date]],"YYYY")&amp;"  Q"&amp;INT(MONTH(SalesData[[#This Row],[Date]]/2)+3)</f>
        <v>2025  Q11</v>
      </c>
    </row>
    <row r="65" spans="1:21"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c r="T65" t="str">
        <f>TEXT(SalesData[[#This Row],[Date]],"MMM-YYY")</f>
        <v>Feb-2024</v>
      </c>
      <c r="U65" t="str">
        <f>TEXT(SalesData[[#This Row],[Date]],"YYYY")&amp;"  Q"&amp;INT(MONTH(SalesData[[#This Row],[Date]]/2)+3)</f>
        <v>2024  Q4</v>
      </c>
    </row>
    <row r="66" spans="1:21"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c r="T66" t="str">
        <f>TEXT(SalesData[[#This Row],[Date]],"MMM-YYY")</f>
        <v>Dec-2023</v>
      </c>
      <c r="U66" t="str">
        <f>TEXT(SalesData[[#This Row],[Date]],"YYYY")&amp;"  Q"&amp;INT(MONTH(SalesData[[#This Row],[Date]]/2)+3)</f>
        <v>2023  Q15</v>
      </c>
    </row>
    <row r="67" spans="1:21"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c r="T67" t="str">
        <f>TEXT(SalesData[[#This Row],[Date]],"MMM-YYY")</f>
        <v>Oct-2023</v>
      </c>
      <c r="U67" t="str">
        <f>TEXT(SalesData[[#This Row],[Date]],"YYYY")&amp;"  Q"&amp;INT(MONTH(SalesData[[#This Row],[Date]]/2)+3)</f>
        <v>2023  Q14</v>
      </c>
    </row>
    <row r="68" spans="1:21"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c r="T68" t="str">
        <f>TEXT(SalesData[[#This Row],[Date]],"MMM-YYY")</f>
        <v>Jul-2023</v>
      </c>
      <c r="U68" t="str">
        <f>TEXT(SalesData[[#This Row],[Date]],"YYYY")&amp;"  Q"&amp;INT(MONTH(SalesData[[#This Row],[Date]]/2)+3)</f>
        <v>2023  Q13</v>
      </c>
    </row>
    <row r="69" spans="1:21"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c r="T69" t="str">
        <f>TEXT(SalesData[[#This Row],[Date]],"MMM-YYY")</f>
        <v>Dec-2024</v>
      </c>
      <c r="U69" t="str">
        <f>TEXT(SalesData[[#This Row],[Date]],"YYYY")&amp;"  Q"&amp;INT(MONTH(SalesData[[#This Row],[Date]]/2)+3)</f>
        <v>2024  Q9</v>
      </c>
    </row>
    <row r="70" spans="1:21"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c r="T70" t="str">
        <f>TEXT(SalesData[[#This Row],[Date]],"MMM-YYY")</f>
        <v>Nov-2024</v>
      </c>
      <c r="U70" t="str">
        <f>TEXT(SalesData[[#This Row],[Date]],"YYYY")&amp;"  Q"&amp;INT(MONTH(SalesData[[#This Row],[Date]]/2)+3)</f>
        <v>2024  Q9</v>
      </c>
    </row>
    <row r="71" spans="1:21"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c r="T71" t="str">
        <f>TEXT(SalesData[[#This Row],[Date]],"MMM-YYY")</f>
        <v>Mar-2025</v>
      </c>
      <c r="U71" t="str">
        <f>TEXT(SalesData[[#This Row],[Date]],"YYYY")&amp;"  Q"&amp;INT(MONTH(SalesData[[#This Row],[Date]]/2)+3)</f>
        <v>2025  Q11</v>
      </c>
    </row>
    <row r="72" spans="1:21"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c r="T72" t="str">
        <f>TEXT(SalesData[[#This Row],[Date]],"MMM-YYY")</f>
        <v>Mar-2024</v>
      </c>
      <c r="U72" t="str">
        <f>TEXT(SalesData[[#This Row],[Date]],"YYYY")&amp;"  Q"&amp;INT(MONTH(SalesData[[#This Row],[Date]]/2)+3)</f>
        <v>2024  Q4</v>
      </c>
    </row>
    <row r="73" spans="1:21"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c r="T73" t="str">
        <f>TEXT(SalesData[[#This Row],[Date]],"MMM-YYY")</f>
        <v>Feb-2023</v>
      </c>
      <c r="U73" t="str">
        <f>TEXT(SalesData[[#This Row],[Date]],"YYYY")&amp;"  Q"&amp;INT(MONTH(SalesData[[#This Row],[Date]]/2)+3)</f>
        <v>2023  Q10</v>
      </c>
    </row>
    <row r="74" spans="1:21"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c r="T74" t="str">
        <f>TEXT(SalesData[[#This Row],[Date]],"MMM-YYY")</f>
        <v>Oct-2023</v>
      </c>
      <c r="U74" t="str">
        <f>TEXT(SalesData[[#This Row],[Date]],"YYYY")&amp;"  Q"&amp;INT(MONTH(SalesData[[#This Row],[Date]]/2)+3)</f>
        <v>2023  Q14</v>
      </c>
    </row>
    <row r="75" spans="1:21"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c r="T75" t="str">
        <f>TEXT(SalesData[[#This Row],[Date]],"MMM-YYY")</f>
        <v>Oct-2023</v>
      </c>
      <c r="U75" t="str">
        <f>TEXT(SalesData[[#This Row],[Date]],"YYYY")&amp;"  Q"&amp;INT(MONTH(SalesData[[#This Row],[Date]]/2)+3)</f>
        <v>2023  Q14</v>
      </c>
    </row>
    <row r="76" spans="1:21"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c r="T76" t="str">
        <f>TEXT(SalesData[[#This Row],[Date]],"MMM-YYY")</f>
        <v>Jan-2024</v>
      </c>
      <c r="U76" t="str">
        <f>TEXT(SalesData[[#This Row],[Date]],"YYYY")&amp;"  Q"&amp;INT(MONTH(SalesData[[#This Row],[Date]]/2)+3)</f>
        <v>2024  Q4</v>
      </c>
    </row>
    <row r="77" spans="1:21"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c r="T77" t="str">
        <f>TEXT(SalesData[[#This Row],[Date]],"MMM-YYY")</f>
        <v>Jul-2023</v>
      </c>
      <c r="U77" t="str">
        <f>TEXT(SalesData[[#This Row],[Date]],"YYYY")&amp;"  Q"&amp;INT(MONTH(SalesData[[#This Row],[Date]]/2)+3)</f>
        <v>2023  Q13</v>
      </c>
    </row>
    <row r="78" spans="1:21"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c r="T78" t="str">
        <f>TEXT(SalesData[[#This Row],[Date]],"MMM-YYY")</f>
        <v>Oct-2024</v>
      </c>
      <c r="U78" t="str">
        <f>TEXT(SalesData[[#This Row],[Date]],"YYYY")&amp;"  Q"&amp;INT(MONTH(SalesData[[#This Row],[Date]]/2)+3)</f>
        <v>2024  Q8</v>
      </c>
    </row>
    <row r="79" spans="1:21"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c r="T79" t="str">
        <f>TEXT(SalesData[[#This Row],[Date]],"MMM-YYY")</f>
        <v>Sep-2023</v>
      </c>
      <c r="U79" t="str">
        <f>TEXT(SalesData[[#This Row],[Date]],"YYYY")&amp;"  Q"&amp;INT(MONTH(SalesData[[#This Row],[Date]]/2)+3)</f>
        <v>2023  Q14</v>
      </c>
    </row>
    <row r="80" spans="1:21"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c r="T80" t="str">
        <f>TEXT(SalesData[[#This Row],[Date]],"MMM-YYY")</f>
        <v>Dec-2023</v>
      </c>
      <c r="U80" t="str">
        <f>TEXT(SalesData[[#This Row],[Date]],"YYYY")&amp;"  Q"&amp;INT(MONTH(SalesData[[#This Row],[Date]]/2)+3)</f>
        <v>2023  Q15</v>
      </c>
    </row>
    <row r="81" spans="1:21"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c r="T81" t="str">
        <f>TEXT(SalesData[[#This Row],[Date]],"MMM-YYY")</f>
        <v>Jan-2024</v>
      </c>
      <c r="U81" t="str">
        <f>TEXT(SalesData[[#This Row],[Date]],"YYYY")&amp;"  Q"&amp;INT(MONTH(SalesData[[#This Row],[Date]]/2)+3)</f>
        <v>2024  Q15</v>
      </c>
    </row>
    <row r="82" spans="1:21"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c r="T82" t="str">
        <f>TEXT(SalesData[[#This Row],[Date]],"MMM-YYY")</f>
        <v>Feb-2024</v>
      </c>
      <c r="U82" t="str">
        <f>TEXT(SalesData[[#This Row],[Date]],"YYYY")&amp;"  Q"&amp;INT(MONTH(SalesData[[#This Row],[Date]]/2)+3)</f>
        <v>2024  Q4</v>
      </c>
    </row>
    <row r="83" spans="1:21"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c r="T83" t="str">
        <f>TEXT(SalesData[[#This Row],[Date]],"MMM-YYY")</f>
        <v>May-2024</v>
      </c>
      <c r="U83" t="str">
        <f>TEXT(SalesData[[#This Row],[Date]],"YYYY")&amp;"  Q"&amp;INT(MONTH(SalesData[[#This Row],[Date]]/2)+3)</f>
        <v>2024  Q6</v>
      </c>
    </row>
    <row r="84" spans="1:21"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c r="T84" t="str">
        <f>TEXT(SalesData[[#This Row],[Date]],"MMM-YYY")</f>
        <v>May-2023</v>
      </c>
      <c r="U84" t="str">
        <f>TEXT(SalesData[[#This Row],[Date]],"YYYY")&amp;"  Q"&amp;INT(MONTH(SalesData[[#This Row],[Date]]/2)+3)</f>
        <v>2023  Q12</v>
      </c>
    </row>
    <row r="85" spans="1:21"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c r="T85" t="str">
        <f>TEXT(SalesData[[#This Row],[Date]],"MMM-YYY")</f>
        <v>Jan-2023</v>
      </c>
      <c r="U85" t="str">
        <f>TEXT(SalesData[[#This Row],[Date]],"YYYY")&amp;"  Q"&amp;INT(MONTH(SalesData[[#This Row],[Date]]/2)+3)</f>
        <v>2023  Q10</v>
      </c>
    </row>
    <row r="86" spans="1:21"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c r="T86" t="str">
        <f>TEXT(SalesData[[#This Row],[Date]],"MMM-YYY")</f>
        <v>May-2025</v>
      </c>
      <c r="U86" t="str">
        <f>TEXT(SalesData[[#This Row],[Date]],"YYYY")&amp;"  Q"&amp;INT(MONTH(SalesData[[#This Row],[Date]]/2)+3)</f>
        <v>2025  Q12</v>
      </c>
    </row>
    <row r="87" spans="1:21"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c r="T87" t="str">
        <f>TEXT(SalesData[[#This Row],[Date]],"MMM-YYY")</f>
        <v>Jul-2023</v>
      </c>
      <c r="U87" t="str">
        <f>TEXT(SalesData[[#This Row],[Date]],"YYYY")&amp;"  Q"&amp;INT(MONTH(SalesData[[#This Row],[Date]]/2)+3)</f>
        <v>2023  Q13</v>
      </c>
    </row>
    <row r="88" spans="1:21"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c r="T88" t="str">
        <f>TEXT(SalesData[[#This Row],[Date]],"MMM-YYY")</f>
        <v>May-2025</v>
      </c>
      <c r="U88" t="str">
        <f>TEXT(SalesData[[#This Row],[Date]],"YYYY")&amp;"  Q"&amp;INT(MONTH(SalesData[[#This Row],[Date]]/2)+3)</f>
        <v>2025  Q12</v>
      </c>
    </row>
    <row r="89" spans="1:21"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c r="T89" t="str">
        <f>TEXT(SalesData[[#This Row],[Date]],"MMM-YYY")</f>
        <v>Nov-2024</v>
      </c>
      <c r="U89" t="str">
        <f>TEXT(SalesData[[#This Row],[Date]],"YYYY")&amp;"  Q"&amp;INT(MONTH(SalesData[[#This Row],[Date]]/2)+3)</f>
        <v>2024  Q9</v>
      </c>
    </row>
    <row r="90" spans="1:21"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c r="T90" t="str">
        <f>TEXT(SalesData[[#This Row],[Date]],"MMM-YYY")</f>
        <v>Nov-2023</v>
      </c>
      <c r="U90" t="str">
        <f>TEXT(SalesData[[#This Row],[Date]],"YYYY")&amp;"  Q"&amp;INT(MONTH(SalesData[[#This Row],[Date]]/2)+3)</f>
        <v>2023  Q15</v>
      </c>
    </row>
    <row r="91" spans="1:21"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c r="T91" t="str">
        <f>TEXT(SalesData[[#This Row],[Date]],"MMM-YYY")</f>
        <v>Jan-2025</v>
      </c>
      <c r="U91" t="str">
        <f>TEXT(SalesData[[#This Row],[Date]],"YYYY")&amp;"  Q"&amp;INT(MONTH(SalesData[[#This Row],[Date]]/2)+3)</f>
        <v>2025  Q10</v>
      </c>
    </row>
    <row r="92" spans="1:21"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c r="T92" t="str">
        <f>TEXT(SalesData[[#This Row],[Date]],"MMM-YYY")</f>
        <v>Mar-2023</v>
      </c>
      <c r="U92" t="str">
        <f>TEXT(SalesData[[#This Row],[Date]],"YYYY")&amp;"  Q"&amp;INT(MONTH(SalesData[[#This Row],[Date]]/2)+3)</f>
        <v>2023  Q11</v>
      </c>
    </row>
    <row r="93" spans="1:21"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c r="T93" t="str">
        <f>TEXT(SalesData[[#This Row],[Date]],"MMM-YYY")</f>
        <v>Mar-2025</v>
      </c>
      <c r="U93" t="str">
        <f>TEXT(SalesData[[#This Row],[Date]],"YYYY")&amp;"  Q"&amp;INT(MONTH(SalesData[[#This Row],[Date]]/2)+3)</f>
        <v>2025  Q10</v>
      </c>
    </row>
    <row r="94" spans="1:21"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c r="T94" t="str">
        <f>TEXT(SalesData[[#This Row],[Date]],"MMM-YYY")</f>
        <v>Oct-2023</v>
      </c>
      <c r="U94" t="str">
        <f>TEXT(SalesData[[#This Row],[Date]],"YYYY")&amp;"  Q"&amp;INT(MONTH(SalesData[[#This Row],[Date]]/2)+3)</f>
        <v>2023  Q14</v>
      </c>
    </row>
    <row r="95" spans="1:21"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c r="T95" t="str">
        <f>TEXT(SalesData[[#This Row],[Date]],"MMM-YYY")</f>
        <v>Apr-2025</v>
      </c>
      <c r="U95" t="str">
        <f>TEXT(SalesData[[#This Row],[Date]],"YYYY")&amp;"  Q"&amp;INT(MONTH(SalesData[[#This Row],[Date]]/2)+3)</f>
        <v>2025  Q11</v>
      </c>
    </row>
    <row r="96" spans="1:21"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c r="T96" t="str">
        <f>TEXT(SalesData[[#This Row],[Date]],"MMM-YYY")</f>
        <v>May-2025</v>
      </c>
      <c r="U96" t="str">
        <f>TEXT(SalesData[[#This Row],[Date]],"YYYY")&amp;"  Q"&amp;INT(MONTH(SalesData[[#This Row],[Date]]/2)+3)</f>
        <v>2025  Q12</v>
      </c>
    </row>
    <row r="97" spans="1:21"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c r="T97" t="str">
        <f>TEXT(SalesData[[#This Row],[Date]],"MMM-YYY")</f>
        <v>Apr-2024</v>
      </c>
      <c r="U97" t="str">
        <f>TEXT(SalesData[[#This Row],[Date]],"YYYY")&amp;"  Q"&amp;INT(MONTH(SalesData[[#This Row],[Date]]/2)+3)</f>
        <v>2024  Q5</v>
      </c>
    </row>
    <row r="98" spans="1:21"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c r="T98" t="str">
        <f>TEXT(SalesData[[#This Row],[Date]],"MMM-YYY")</f>
        <v>Jan-2025</v>
      </c>
      <c r="U98" t="str">
        <f>TEXT(SalesData[[#This Row],[Date]],"YYYY")&amp;"  Q"&amp;INT(MONTH(SalesData[[#This Row],[Date]]/2)+3)</f>
        <v>2025  Q10</v>
      </c>
    </row>
    <row r="99" spans="1:21"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c r="T99" t="str">
        <f>TEXT(SalesData[[#This Row],[Date]],"MMM-YYY")</f>
        <v>Mar-2025</v>
      </c>
      <c r="U99" t="str">
        <f>TEXT(SalesData[[#This Row],[Date]],"YYYY")&amp;"  Q"&amp;INT(MONTH(SalesData[[#This Row],[Date]]/2)+3)</f>
        <v>2025  Q11</v>
      </c>
    </row>
    <row r="100" spans="1:21"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c r="T100" t="str">
        <f>TEXT(SalesData[[#This Row],[Date]],"MMM-YYY")</f>
        <v>May-2024</v>
      </c>
      <c r="U100" t="str">
        <f>TEXT(SalesData[[#This Row],[Date]],"YYYY")&amp;"  Q"&amp;INT(MONTH(SalesData[[#This Row],[Date]]/2)+3)</f>
        <v>2024  Q6</v>
      </c>
    </row>
    <row r="101" spans="1:21"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c r="T101" t="str">
        <f>TEXT(SalesData[[#This Row],[Date]],"MMM-YYY")</f>
        <v>Jul-2023</v>
      </c>
      <c r="U101" t="str">
        <f>TEXT(SalesData[[#This Row],[Date]],"YYYY")&amp;"  Q"&amp;INT(MONTH(SalesData[[#This Row],[Date]]/2)+3)</f>
        <v>2023  Q13</v>
      </c>
    </row>
    <row r="102" spans="1:21"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c r="T102" t="str">
        <f>TEXT(SalesData[[#This Row],[Date]],"MMM-YYY")</f>
        <v>Mar-2024</v>
      </c>
      <c r="U102" t="str">
        <f>TEXT(SalesData[[#This Row],[Date]],"YYYY")&amp;"  Q"&amp;INT(MONTH(SalesData[[#This Row],[Date]]/2)+3)</f>
        <v>2024  Q5</v>
      </c>
    </row>
    <row r="103" spans="1:21"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c r="T103" t="str">
        <f>TEXT(SalesData[[#This Row],[Date]],"MMM-YYY")</f>
        <v>Apr-2023</v>
      </c>
      <c r="U103" t="str">
        <f>TEXT(SalesData[[#This Row],[Date]],"YYYY")&amp;"  Q"&amp;INT(MONTH(SalesData[[#This Row],[Date]]/2)+3)</f>
        <v>2023  Q11</v>
      </c>
    </row>
    <row r="104" spans="1:21"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c r="T104" t="str">
        <f>TEXT(SalesData[[#This Row],[Date]],"MMM-YYY")</f>
        <v>Aug-2024</v>
      </c>
      <c r="U104" t="str">
        <f>TEXT(SalesData[[#This Row],[Date]],"YYYY")&amp;"  Q"&amp;INT(MONTH(SalesData[[#This Row],[Date]]/2)+3)</f>
        <v>2024  Q7</v>
      </c>
    </row>
    <row r="105" spans="1:21"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c r="T105" t="str">
        <f>TEXT(SalesData[[#This Row],[Date]],"MMM-YYY")</f>
        <v>Jul-2024</v>
      </c>
      <c r="U105" t="str">
        <f>TEXT(SalesData[[#This Row],[Date]],"YYYY")&amp;"  Q"&amp;INT(MONTH(SalesData[[#This Row],[Date]]/2)+3)</f>
        <v>2024  Q7</v>
      </c>
    </row>
    <row r="106" spans="1:21"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c r="T106" t="str">
        <f>TEXT(SalesData[[#This Row],[Date]],"MMM-YYY")</f>
        <v>Sep-2023</v>
      </c>
      <c r="U106" t="str">
        <f>TEXT(SalesData[[#This Row],[Date]],"YYYY")&amp;"  Q"&amp;INT(MONTH(SalesData[[#This Row],[Date]]/2)+3)</f>
        <v>2023  Q14</v>
      </c>
    </row>
    <row r="107" spans="1:21"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c r="T107" t="str">
        <f>TEXT(SalesData[[#This Row],[Date]],"MMM-YYY")</f>
        <v>Oct-2023</v>
      </c>
      <c r="U107" t="str">
        <f>TEXT(SalesData[[#This Row],[Date]],"YYYY")&amp;"  Q"&amp;INT(MONTH(SalesData[[#This Row],[Date]]/2)+3)</f>
        <v>2023  Q14</v>
      </c>
    </row>
    <row r="108" spans="1:21"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c r="T108" t="str">
        <f>TEXT(SalesData[[#This Row],[Date]],"MMM-YYY")</f>
        <v>Jun-2025</v>
      </c>
      <c r="U108" t="str">
        <f>TEXT(SalesData[[#This Row],[Date]],"YYYY")&amp;"  Q"&amp;INT(MONTH(SalesData[[#This Row],[Date]]/2)+3)</f>
        <v>2025  Q12</v>
      </c>
    </row>
    <row r="109" spans="1:21"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c r="T109" t="str">
        <f>TEXT(SalesData[[#This Row],[Date]],"MMM-YYY")</f>
        <v>Jun-2025</v>
      </c>
      <c r="U109" t="str">
        <f>TEXT(SalesData[[#This Row],[Date]],"YYYY")&amp;"  Q"&amp;INT(MONTH(SalesData[[#This Row],[Date]]/2)+3)</f>
        <v>2025  Q12</v>
      </c>
    </row>
    <row r="110" spans="1:21"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c r="T110" t="str">
        <f>TEXT(SalesData[[#This Row],[Date]],"MMM-YYY")</f>
        <v>Jun-2024</v>
      </c>
      <c r="U110" t="str">
        <f>TEXT(SalesData[[#This Row],[Date]],"YYYY")&amp;"  Q"&amp;INT(MONTH(SalesData[[#This Row],[Date]]/2)+3)</f>
        <v>2024  Q6</v>
      </c>
    </row>
    <row r="111" spans="1:21"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c r="T111" t="str">
        <f>TEXT(SalesData[[#This Row],[Date]],"MMM-YYY")</f>
        <v>Mar-2024</v>
      </c>
      <c r="U111" t="str">
        <f>TEXT(SalesData[[#This Row],[Date]],"YYYY")&amp;"  Q"&amp;INT(MONTH(SalesData[[#This Row],[Date]]/2)+3)</f>
        <v>2024  Q5</v>
      </c>
    </row>
    <row r="112" spans="1:21"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c r="T112" t="str">
        <f>TEXT(SalesData[[#This Row],[Date]],"MMM-YYY")</f>
        <v>Jul-2024</v>
      </c>
      <c r="U112" t="str">
        <f>TEXT(SalesData[[#This Row],[Date]],"YYYY")&amp;"  Q"&amp;INT(MONTH(SalesData[[#This Row],[Date]]/2)+3)</f>
        <v>2024  Q7</v>
      </c>
    </row>
    <row r="113" spans="1:21"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c r="T113" t="str">
        <f>TEXT(SalesData[[#This Row],[Date]],"MMM-YYY")</f>
        <v>Mar-2024</v>
      </c>
      <c r="U113" t="str">
        <f>TEXT(SalesData[[#This Row],[Date]],"YYYY")&amp;"  Q"&amp;INT(MONTH(SalesData[[#This Row],[Date]]/2)+3)</f>
        <v>2024  Q5</v>
      </c>
    </row>
    <row r="114" spans="1:21"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c r="T114" t="str">
        <f>TEXT(SalesData[[#This Row],[Date]],"MMM-YYY")</f>
        <v>Apr-2025</v>
      </c>
      <c r="U114" t="str">
        <f>TEXT(SalesData[[#This Row],[Date]],"YYYY")&amp;"  Q"&amp;INT(MONTH(SalesData[[#This Row],[Date]]/2)+3)</f>
        <v>2025  Q11</v>
      </c>
    </row>
    <row r="115" spans="1:21"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c r="T115" t="str">
        <f>TEXT(SalesData[[#This Row],[Date]],"MMM-YYY")</f>
        <v>Feb-2024</v>
      </c>
      <c r="U115" t="str">
        <f>TEXT(SalesData[[#This Row],[Date]],"YYYY")&amp;"  Q"&amp;INT(MONTH(SalesData[[#This Row],[Date]]/2)+3)</f>
        <v>2024  Q4</v>
      </c>
    </row>
    <row r="116" spans="1:21"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c r="T116" t="str">
        <f>TEXT(SalesData[[#This Row],[Date]],"MMM-YYY")</f>
        <v>Jan-2024</v>
      </c>
      <c r="U116" t="str">
        <f>TEXT(SalesData[[#This Row],[Date]],"YYYY")&amp;"  Q"&amp;INT(MONTH(SalesData[[#This Row],[Date]]/2)+3)</f>
        <v>2024  Q4</v>
      </c>
    </row>
    <row r="117" spans="1:21"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c r="T117" t="str">
        <f>TEXT(SalesData[[#This Row],[Date]],"MMM-YYY")</f>
        <v>Apr-2025</v>
      </c>
      <c r="U117" t="str">
        <f>TEXT(SalesData[[#This Row],[Date]],"YYYY")&amp;"  Q"&amp;INT(MONTH(SalesData[[#This Row],[Date]]/2)+3)</f>
        <v>2025  Q11</v>
      </c>
    </row>
    <row r="118" spans="1:21"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c r="T118" t="str">
        <f>TEXT(SalesData[[#This Row],[Date]],"MMM-YYY")</f>
        <v>Apr-2025</v>
      </c>
      <c r="U118" t="str">
        <f>TEXT(SalesData[[#This Row],[Date]],"YYYY")&amp;"  Q"&amp;INT(MONTH(SalesData[[#This Row],[Date]]/2)+3)</f>
        <v>2025  Q11</v>
      </c>
    </row>
    <row r="119" spans="1:21"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c r="T119" t="str">
        <f>TEXT(SalesData[[#This Row],[Date]],"MMM-YYY")</f>
        <v>Aug-2024</v>
      </c>
      <c r="U119" t="str">
        <f>TEXT(SalesData[[#This Row],[Date]],"YYYY")&amp;"  Q"&amp;INT(MONTH(SalesData[[#This Row],[Date]]/2)+3)</f>
        <v>2024  Q7</v>
      </c>
    </row>
    <row r="120" spans="1:21"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c r="T120" t="str">
        <f>TEXT(SalesData[[#This Row],[Date]],"MMM-YYY")</f>
        <v>Dec-2023</v>
      </c>
      <c r="U120" t="str">
        <f>TEXT(SalesData[[#This Row],[Date]],"YYYY")&amp;"  Q"&amp;INT(MONTH(SalesData[[#This Row],[Date]]/2)+3)</f>
        <v>2023  Q15</v>
      </c>
    </row>
    <row r="121" spans="1:21"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c r="T121" t="str">
        <f>TEXT(SalesData[[#This Row],[Date]],"MMM-YYY")</f>
        <v>Aug-2023</v>
      </c>
      <c r="U121" t="str">
        <f>TEXT(SalesData[[#This Row],[Date]],"YYYY")&amp;"  Q"&amp;INT(MONTH(SalesData[[#This Row],[Date]]/2)+3)</f>
        <v>2023  Q13</v>
      </c>
    </row>
    <row r="122" spans="1:21"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c r="T122" t="str">
        <f>TEXT(SalesData[[#This Row],[Date]],"MMM-YYY")</f>
        <v>Jan-2024</v>
      </c>
      <c r="U122" t="str">
        <f>TEXT(SalesData[[#This Row],[Date]],"YYYY")&amp;"  Q"&amp;INT(MONTH(SalesData[[#This Row],[Date]]/2)+3)</f>
        <v>2024  Q4</v>
      </c>
    </row>
    <row r="123" spans="1:21"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c r="T123" t="str">
        <f>TEXT(SalesData[[#This Row],[Date]],"MMM-YYY")</f>
        <v>Mar-2024</v>
      </c>
      <c r="U123" t="str">
        <f>TEXT(SalesData[[#This Row],[Date]],"YYYY")&amp;"  Q"&amp;INT(MONTH(SalesData[[#This Row],[Date]]/2)+3)</f>
        <v>2024  Q5</v>
      </c>
    </row>
    <row r="124" spans="1:21"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c r="T124" t="str">
        <f>TEXT(SalesData[[#This Row],[Date]],"MMM-YYY")</f>
        <v>Jan-2024</v>
      </c>
      <c r="U124" t="str">
        <f>TEXT(SalesData[[#This Row],[Date]],"YYYY")&amp;"  Q"&amp;INT(MONTH(SalesData[[#This Row],[Date]]/2)+3)</f>
        <v>2024  Q4</v>
      </c>
    </row>
    <row r="125" spans="1:21"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c r="T125" t="str">
        <f>TEXT(SalesData[[#This Row],[Date]],"MMM-YYY")</f>
        <v>Feb-2023</v>
      </c>
      <c r="U125" t="str">
        <f>TEXT(SalesData[[#This Row],[Date]],"YYYY")&amp;"  Q"&amp;INT(MONTH(SalesData[[#This Row],[Date]]/2)+3)</f>
        <v>2023  Q10</v>
      </c>
    </row>
    <row r="126" spans="1:21"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c r="T126" t="str">
        <f>TEXT(SalesData[[#This Row],[Date]],"MMM-YYY")</f>
        <v>Jun-2023</v>
      </c>
      <c r="U126" t="str">
        <f>TEXT(SalesData[[#This Row],[Date]],"YYYY")&amp;"  Q"&amp;INT(MONTH(SalesData[[#This Row],[Date]]/2)+3)</f>
        <v>2023  Q12</v>
      </c>
    </row>
    <row r="127" spans="1:21"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c r="T127" t="str">
        <f>TEXT(SalesData[[#This Row],[Date]],"MMM-YYY")</f>
        <v>May-2025</v>
      </c>
      <c r="U127" t="str">
        <f>TEXT(SalesData[[#This Row],[Date]],"YYYY")&amp;"  Q"&amp;INT(MONTH(SalesData[[#This Row],[Date]]/2)+3)</f>
        <v>2025  Q12</v>
      </c>
    </row>
    <row r="128" spans="1:21"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c r="T128" t="str">
        <f>TEXT(SalesData[[#This Row],[Date]],"MMM-YYY")</f>
        <v>Jul-2024</v>
      </c>
      <c r="U128" t="str">
        <f>TEXT(SalesData[[#This Row],[Date]],"YYYY")&amp;"  Q"&amp;INT(MONTH(SalesData[[#This Row],[Date]]/2)+3)</f>
        <v>2024  Q7</v>
      </c>
    </row>
    <row r="129" spans="1:21"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c r="T129" t="str">
        <f>TEXT(SalesData[[#This Row],[Date]],"MMM-YYY")</f>
        <v>Jul-2024</v>
      </c>
      <c r="U129" t="str">
        <f>TEXT(SalesData[[#This Row],[Date]],"YYYY")&amp;"  Q"&amp;INT(MONTH(SalesData[[#This Row],[Date]]/2)+3)</f>
        <v>2024  Q7</v>
      </c>
    </row>
    <row r="130" spans="1:21"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c r="T130" t="str">
        <f>TEXT(SalesData[[#This Row],[Date]],"MMM-YYY")</f>
        <v>Aug-2024</v>
      </c>
      <c r="U130" t="str">
        <f>TEXT(SalesData[[#This Row],[Date]],"YYYY")&amp;"  Q"&amp;INT(MONTH(SalesData[[#This Row],[Date]]/2)+3)</f>
        <v>2024  Q7</v>
      </c>
    </row>
    <row r="131" spans="1:21"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c r="T131" t="str">
        <f>TEXT(SalesData[[#This Row],[Date]],"MMM-YYY")</f>
        <v>Jun-2025</v>
      </c>
      <c r="U131" t="str">
        <f>TEXT(SalesData[[#This Row],[Date]],"YYYY")&amp;"  Q"&amp;INT(MONTH(SalesData[[#This Row],[Date]]/2)+3)</f>
        <v>2025  Q12</v>
      </c>
    </row>
    <row r="132" spans="1:21"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c r="T132" t="str">
        <f>TEXT(SalesData[[#This Row],[Date]],"MMM-YYY")</f>
        <v>May-2025</v>
      </c>
      <c r="U132" t="str">
        <f>TEXT(SalesData[[#This Row],[Date]],"YYYY")&amp;"  Q"&amp;INT(MONTH(SalesData[[#This Row],[Date]]/2)+3)</f>
        <v>2025  Q12</v>
      </c>
    </row>
    <row r="133" spans="1:21"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c r="T133" t="str">
        <f>TEXT(SalesData[[#This Row],[Date]],"MMM-YYY")</f>
        <v>Jul-2024</v>
      </c>
      <c r="U133" t="str">
        <f>TEXT(SalesData[[#This Row],[Date]],"YYYY")&amp;"  Q"&amp;INT(MONTH(SalesData[[#This Row],[Date]]/2)+3)</f>
        <v>2024  Q7</v>
      </c>
    </row>
    <row r="134" spans="1:21"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c r="T134" t="str">
        <f>TEXT(SalesData[[#This Row],[Date]],"MMM-YYY")</f>
        <v>Sep-2023</v>
      </c>
      <c r="U134" t="str">
        <f>TEXT(SalesData[[#This Row],[Date]],"YYYY")&amp;"  Q"&amp;INT(MONTH(SalesData[[#This Row],[Date]]/2)+3)</f>
        <v>2023  Q14</v>
      </c>
    </row>
    <row r="135" spans="1:21"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c r="T135" t="str">
        <f>TEXT(SalesData[[#This Row],[Date]],"MMM-YYY")</f>
        <v>Mar-2023</v>
      </c>
      <c r="U135" t="str">
        <f>TEXT(SalesData[[#This Row],[Date]],"YYYY")&amp;"  Q"&amp;INT(MONTH(SalesData[[#This Row],[Date]]/2)+3)</f>
        <v>2023  Q11</v>
      </c>
    </row>
    <row r="136" spans="1:21"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c r="T136" t="str">
        <f>TEXT(SalesData[[#This Row],[Date]],"MMM-YYY")</f>
        <v>Mar-2023</v>
      </c>
      <c r="U136" t="str">
        <f>TEXT(SalesData[[#This Row],[Date]],"YYYY")&amp;"  Q"&amp;INT(MONTH(SalesData[[#This Row],[Date]]/2)+3)</f>
        <v>2023  Q11</v>
      </c>
    </row>
    <row r="137" spans="1:21"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c r="T137" t="str">
        <f>TEXT(SalesData[[#This Row],[Date]],"MMM-YYY")</f>
        <v>Jul-2023</v>
      </c>
      <c r="U137" t="str">
        <f>TEXT(SalesData[[#This Row],[Date]],"YYYY")&amp;"  Q"&amp;INT(MONTH(SalesData[[#This Row],[Date]]/2)+3)</f>
        <v>2023  Q13</v>
      </c>
    </row>
    <row r="138" spans="1:21"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c r="T138" t="str">
        <f>TEXT(SalesData[[#This Row],[Date]],"MMM-YYY")</f>
        <v>Mar-2024</v>
      </c>
      <c r="U138" t="str">
        <f>TEXT(SalesData[[#This Row],[Date]],"YYYY")&amp;"  Q"&amp;INT(MONTH(SalesData[[#This Row],[Date]]/2)+3)</f>
        <v>2024  Q5</v>
      </c>
    </row>
    <row r="139" spans="1:21"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c r="T139" t="str">
        <f>TEXT(SalesData[[#This Row],[Date]],"MMM-YYY")</f>
        <v>May-2024</v>
      </c>
      <c r="U139" t="str">
        <f>TEXT(SalesData[[#This Row],[Date]],"YYYY")&amp;"  Q"&amp;INT(MONTH(SalesData[[#This Row],[Date]]/2)+3)</f>
        <v>2024  Q6</v>
      </c>
    </row>
    <row r="140" spans="1:21"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c r="T140" t="str">
        <f>TEXT(SalesData[[#This Row],[Date]],"MMM-YYY")</f>
        <v>May-2023</v>
      </c>
      <c r="U140" t="str">
        <f>TEXT(SalesData[[#This Row],[Date]],"YYYY")&amp;"  Q"&amp;INT(MONTH(SalesData[[#This Row],[Date]]/2)+3)</f>
        <v>2023  Q12</v>
      </c>
    </row>
    <row r="141" spans="1:21"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c r="T141" t="str">
        <f>TEXT(SalesData[[#This Row],[Date]],"MMM-YYY")</f>
        <v>Mar-2023</v>
      </c>
      <c r="U141" t="str">
        <f>TEXT(SalesData[[#This Row],[Date]],"YYYY")&amp;"  Q"&amp;INT(MONTH(SalesData[[#This Row],[Date]]/2)+3)</f>
        <v>2023  Q11</v>
      </c>
    </row>
    <row r="142" spans="1:21"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c r="T142" t="str">
        <f>TEXT(SalesData[[#This Row],[Date]],"MMM-YYY")</f>
        <v>Aug-2023</v>
      </c>
      <c r="U142" t="str">
        <f>TEXT(SalesData[[#This Row],[Date]],"YYYY")&amp;"  Q"&amp;INT(MONTH(SalesData[[#This Row],[Date]]/2)+3)</f>
        <v>2023  Q13</v>
      </c>
    </row>
    <row r="143" spans="1:21"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c r="T143" t="str">
        <f>TEXT(SalesData[[#This Row],[Date]],"MMM-YYY")</f>
        <v>Oct-2024</v>
      </c>
      <c r="U143" t="str">
        <f>TEXT(SalesData[[#This Row],[Date]],"YYYY")&amp;"  Q"&amp;INT(MONTH(SalesData[[#This Row],[Date]]/2)+3)</f>
        <v>2024  Q8</v>
      </c>
    </row>
    <row r="144" spans="1:21"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c r="T144" t="str">
        <f>TEXT(SalesData[[#This Row],[Date]],"MMM-YYY")</f>
        <v>Feb-2025</v>
      </c>
      <c r="U144" t="str">
        <f>TEXT(SalesData[[#This Row],[Date]],"YYYY")&amp;"  Q"&amp;INT(MONTH(SalesData[[#This Row],[Date]]/2)+3)</f>
        <v>2025  Q10</v>
      </c>
    </row>
    <row r="145" spans="1:21"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c r="T145" t="str">
        <f>TEXT(SalesData[[#This Row],[Date]],"MMM-YYY")</f>
        <v>Jun-2025</v>
      </c>
      <c r="U145" t="str">
        <f>TEXT(SalesData[[#This Row],[Date]],"YYYY")&amp;"  Q"&amp;INT(MONTH(SalesData[[#This Row],[Date]]/2)+3)</f>
        <v>2025  Q12</v>
      </c>
    </row>
    <row r="146" spans="1:21"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c r="T146" t="str">
        <f>TEXT(SalesData[[#This Row],[Date]],"MMM-YYY")</f>
        <v>Apr-2024</v>
      </c>
      <c r="U146" t="str">
        <f>TEXT(SalesData[[#This Row],[Date]],"YYYY")&amp;"  Q"&amp;INT(MONTH(SalesData[[#This Row],[Date]]/2)+3)</f>
        <v>2024  Q5</v>
      </c>
    </row>
    <row r="147" spans="1:21"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c r="T147" t="str">
        <f>TEXT(SalesData[[#This Row],[Date]],"MMM-YYY")</f>
        <v>Mar-2023</v>
      </c>
      <c r="U147" t="str">
        <f>TEXT(SalesData[[#This Row],[Date]],"YYYY")&amp;"  Q"&amp;INT(MONTH(SalesData[[#This Row],[Date]]/2)+3)</f>
        <v>2023  Q11</v>
      </c>
    </row>
    <row r="148" spans="1:21"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c r="T148" t="str">
        <f>TEXT(SalesData[[#This Row],[Date]],"MMM-YYY")</f>
        <v>Dec-2024</v>
      </c>
      <c r="U148" t="str">
        <f>TEXT(SalesData[[#This Row],[Date]],"YYYY")&amp;"  Q"&amp;INT(MONTH(SalesData[[#This Row],[Date]]/2)+3)</f>
        <v>2024  Q9</v>
      </c>
    </row>
    <row r="149" spans="1:21"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c r="T149" t="str">
        <f>TEXT(SalesData[[#This Row],[Date]],"MMM-YYY")</f>
        <v>Apr-2023</v>
      </c>
      <c r="U149" t="str">
        <f>TEXT(SalesData[[#This Row],[Date]],"YYYY")&amp;"  Q"&amp;INT(MONTH(SalesData[[#This Row],[Date]]/2)+3)</f>
        <v>2023  Q11</v>
      </c>
    </row>
    <row r="150" spans="1:21"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c r="T150" t="str">
        <f>TEXT(SalesData[[#This Row],[Date]],"MMM-YYY")</f>
        <v>May-2025</v>
      </c>
      <c r="U150" t="str">
        <f>TEXT(SalesData[[#This Row],[Date]],"YYYY")&amp;"  Q"&amp;INT(MONTH(SalesData[[#This Row],[Date]]/2)+3)</f>
        <v>2025  Q12</v>
      </c>
    </row>
    <row r="151" spans="1:21"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c r="T151" t="str">
        <f>TEXT(SalesData[[#This Row],[Date]],"MMM-YYY")</f>
        <v>Mar-2024</v>
      </c>
      <c r="U151" t="str">
        <f>TEXT(SalesData[[#This Row],[Date]],"YYYY")&amp;"  Q"&amp;INT(MONTH(SalesData[[#This Row],[Date]]/2)+3)</f>
        <v>2024  Q4</v>
      </c>
    </row>
    <row r="152" spans="1:21"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c r="T152" t="str">
        <f>TEXT(SalesData[[#This Row],[Date]],"MMM-YYY")</f>
        <v>Jan-2025</v>
      </c>
      <c r="U152" t="str">
        <f>TEXT(SalesData[[#This Row],[Date]],"YYYY")&amp;"  Q"&amp;INT(MONTH(SalesData[[#This Row],[Date]]/2)+3)</f>
        <v>2025  Q10</v>
      </c>
    </row>
    <row r="153" spans="1:21"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c r="T153" t="str">
        <f>TEXT(SalesData[[#This Row],[Date]],"MMM-YYY")</f>
        <v>Mar-2025</v>
      </c>
      <c r="U153" t="str">
        <f>TEXT(SalesData[[#This Row],[Date]],"YYYY")&amp;"  Q"&amp;INT(MONTH(SalesData[[#This Row],[Date]]/2)+3)</f>
        <v>2025  Q11</v>
      </c>
    </row>
    <row r="154" spans="1:21"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c r="T154" t="str">
        <f>TEXT(SalesData[[#This Row],[Date]],"MMM-YYY")</f>
        <v>Mar-2025</v>
      </c>
      <c r="U154" t="str">
        <f>TEXT(SalesData[[#This Row],[Date]],"YYYY")&amp;"  Q"&amp;INT(MONTH(SalesData[[#This Row],[Date]]/2)+3)</f>
        <v>2025  Q11</v>
      </c>
    </row>
    <row r="155" spans="1:21"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c r="T155" t="str">
        <f>TEXT(SalesData[[#This Row],[Date]],"MMM-YYY")</f>
        <v>Feb-2025</v>
      </c>
      <c r="U155" t="str">
        <f>TEXT(SalesData[[#This Row],[Date]],"YYYY")&amp;"  Q"&amp;INT(MONTH(SalesData[[#This Row],[Date]]/2)+3)</f>
        <v>2025  Q10</v>
      </c>
    </row>
    <row r="156" spans="1:21"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c r="T156" t="str">
        <f>TEXT(SalesData[[#This Row],[Date]],"MMM-YYY")</f>
        <v>Nov-2024</v>
      </c>
      <c r="U156" t="str">
        <f>TEXT(SalesData[[#This Row],[Date]],"YYYY")&amp;"  Q"&amp;INT(MONTH(SalesData[[#This Row],[Date]]/2)+3)</f>
        <v>2024  Q9</v>
      </c>
    </row>
    <row r="157" spans="1:21"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c r="T157" t="str">
        <f>TEXT(SalesData[[#This Row],[Date]],"MMM-YYY")</f>
        <v>Mar-2024</v>
      </c>
      <c r="U157" t="str">
        <f>TEXT(SalesData[[#This Row],[Date]],"YYYY")&amp;"  Q"&amp;INT(MONTH(SalesData[[#This Row],[Date]]/2)+3)</f>
        <v>2024  Q5</v>
      </c>
    </row>
    <row r="158" spans="1:21"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c r="T158" t="str">
        <f>TEXT(SalesData[[#This Row],[Date]],"MMM-YYY")</f>
        <v>Aug-2023</v>
      </c>
      <c r="U158" t="str">
        <f>TEXT(SalesData[[#This Row],[Date]],"YYYY")&amp;"  Q"&amp;INT(MONTH(SalesData[[#This Row],[Date]]/2)+3)</f>
        <v>2023  Q13</v>
      </c>
    </row>
    <row r="159" spans="1:21"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c r="T159" t="str">
        <f>TEXT(SalesData[[#This Row],[Date]],"MMM-YYY")</f>
        <v>Jun-2023</v>
      </c>
      <c r="U159" t="str">
        <f>TEXT(SalesData[[#This Row],[Date]],"YYYY")&amp;"  Q"&amp;INT(MONTH(SalesData[[#This Row],[Date]]/2)+3)</f>
        <v>2023  Q12</v>
      </c>
    </row>
    <row r="160" spans="1:21"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c r="T160" t="str">
        <f>TEXT(SalesData[[#This Row],[Date]],"MMM-YYY")</f>
        <v>Feb-2024</v>
      </c>
      <c r="U160" t="str">
        <f>TEXT(SalesData[[#This Row],[Date]],"YYYY")&amp;"  Q"&amp;INT(MONTH(SalesData[[#This Row],[Date]]/2)+3)</f>
        <v>2024  Q4</v>
      </c>
    </row>
    <row r="161" spans="1:21"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c r="T161" t="str">
        <f>TEXT(SalesData[[#This Row],[Date]],"MMM-YYY")</f>
        <v>Apr-2024</v>
      </c>
      <c r="U161" t="str">
        <f>TEXT(SalesData[[#This Row],[Date]],"YYYY")&amp;"  Q"&amp;INT(MONTH(SalesData[[#This Row],[Date]]/2)+3)</f>
        <v>2024  Q5</v>
      </c>
    </row>
    <row r="162" spans="1:21"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c r="T162" t="str">
        <f>TEXT(SalesData[[#This Row],[Date]],"MMM-YYY")</f>
        <v>May-2023</v>
      </c>
      <c r="U162" t="str">
        <f>TEXT(SalesData[[#This Row],[Date]],"YYYY")&amp;"  Q"&amp;INT(MONTH(SalesData[[#This Row],[Date]]/2)+3)</f>
        <v>2023  Q12</v>
      </c>
    </row>
    <row r="163" spans="1:21"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c r="T163" t="str">
        <f>TEXT(SalesData[[#This Row],[Date]],"MMM-YYY")</f>
        <v>Mar-2023</v>
      </c>
      <c r="U163" t="str">
        <f>TEXT(SalesData[[#This Row],[Date]],"YYYY")&amp;"  Q"&amp;INT(MONTH(SalesData[[#This Row],[Date]]/2)+3)</f>
        <v>2023  Q11</v>
      </c>
    </row>
    <row r="164" spans="1:21"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c r="T164" t="str">
        <f>TEXT(SalesData[[#This Row],[Date]],"MMM-YYY")</f>
        <v>Aug-2024</v>
      </c>
      <c r="U164" t="str">
        <f>TEXT(SalesData[[#This Row],[Date]],"YYYY")&amp;"  Q"&amp;INT(MONTH(SalesData[[#This Row],[Date]]/2)+3)</f>
        <v>2024  Q7</v>
      </c>
    </row>
    <row r="165" spans="1:21"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c r="T165" t="str">
        <f>TEXT(SalesData[[#This Row],[Date]],"MMM-YYY")</f>
        <v>Feb-2024</v>
      </c>
      <c r="U165" t="str">
        <f>TEXT(SalesData[[#This Row],[Date]],"YYYY")&amp;"  Q"&amp;INT(MONTH(SalesData[[#This Row],[Date]]/2)+3)</f>
        <v>2024  Q4</v>
      </c>
    </row>
    <row r="166" spans="1:21"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c r="T166" t="str">
        <f>TEXT(SalesData[[#This Row],[Date]],"MMM-YYY")</f>
        <v>Jan-2024</v>
      </c>
      <c r="U166" t="str">
        <f>TEXT(SalesData[[#This Row],[Date]],"YYYY")&amp;"  Q"&amp;INT(MONTH(SalesData[[#This Row],[Date]]/2)+3)</f>
        <v>2024  Q4</v>
      </c>
    </row>
    <row r="167" spans="1:21"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c r="T167" t="str">
        <f>TEXT(SalesData[[#This Row],[Date]],"MMM-YYY")</f>
        <v>Jan-2024</v>
      </c>
      <c r="U167" t="str">
        <f>TEXT(SalesData[[#This Row],[Date]],"YYYY")&amp;"  Q"&amp;INT(MONTH(SalesData[[#This Row],[Date]]/2)+3)</f>
        <v>2024  Q4</v>
      </c>
    </row>
    <row r="168" spans="1:21"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c r="T168" t="str">
        <f>TEXT(SalesData[[#This Row],[Date]],"MMM-YYY")</f>
        <v>Jan-2023</v>
      </c>
      <c r="U168" t="str">
        <f>TEXT(SalesData[[#This Row],[Date]],"YYYY")&amp;"  Q"&amp;INT(MONTH(SalesData[[#This Row],[Date]]/2)+3)</f>
        <v>2023  Q10</v>
      </c>
    </row>
    <row r="169" spans="1:21"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c r="T169" t="str">
        <f>TEXT(SalesData[[#This Row],[Date]],"MMM-YYY")</f>
        <v>Dec-2023</v>
      </c>
      <c r="U169" t="str">
        <f>TEXT(SalesData[[#This Row],[Date]],"YYYY")&amp;"  Q"&amp;INT(MONTH(SalesData[[#This Row],[Date]]/2)+3)</f>
        <v>2023  Q15</v>
      </c>
    </row>
    <row r="170" spans="1:21"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c r="T170" t="str">
        <f>TEXT(SalesData[[#This Row],[Date]],"MMM-YYY")</f>
        <v>May-2023</v>
      </c>
      <c r="U170" t="str">
        <f>TEXT(SalesData[[#This Row],[Date]],"YYYY")&amp;"  Q"&amp;INT(MONTH(SalesData[[#This Row],[Date]]/2)+3)</f>
        <v>2023  Q12</v>
      </c>
    </row>
    <row r="171" spans="1:21"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c r="T171" t="str">
        <f>TEXT(SalesData[[#This Row],[Date]],"MMM-YYY")</f>
        <v>Jun-2025</v>
      </c>
      <c r="U171" t="str">
        <f>TEXT(SalesData[[#This Row],[Date]],"YYYY")&amp;"  Q"&amp;INT(MONTH(SalesData[[#This Row],[Date]]/2)+3)</f>
        <v>2025  Q12</v>
      </c>
    </row>
    <row r="172" spans="1:21"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c r="T172" t="str">
        <f>TEXT(SalesData[[#This Row],[Date]],"MMM-YYY")</f>
        <v>Feb-2025</v>
      </c>
      <c r="U172" t="str">
        <f>TEXT(SalesData[[#This Row],[Date]],"YYYY")&amp;"  Q"&amp;INT(MONTH(SalesData[[#This Row],[Date]]/2)+3)</f>
        <v>2025  Q10</v>
      </c>
    </row>
    <row r="173" spans="1:21"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c r="T173" t="str">
        <f>TEXT(SalesData[[#This Row],[Date]],"MMM-YYY")</f>
        <v>Jan-2024</v>
      </c>
      <c r="U173" t="str">
        <f>TEXT(SalesData[[#This Row],[Date]],"YYYY")&amp;"  Q"&amp;INT(MONTH(SalesData[[#This Row],[Date]]/2)+3)</f>
        <v>2024  Q4</v>
      </c>
    </row>
    <row r="174" spans="1:21"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c r="T174" t="str">
        <f>TEXT(SalesData[[#This Row],[Date]],"MMM-YYY")</f>
        <v>Feb-2023</v>
      </c>
      <c r="U174" t="str">
        <f>TEXT(SalesData[[#This Row],[Date]],"YYYY")&amp;"  Q"&amp;INT(MONTH(SalesData[[#This Row],[Date]]/2)+3)</f>
        <v>2023  Q10</v>
      </c>
    </row>
    <row r="175" spans="1:21"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c r="T175" t="str">
        <f>TEXT(SalesData[[#This Row],[Date]],"MMM-YYY")</f>
        <v>Mar-2024</v>
      </c>
      <c r="U175" t="str">
        <f>TEXT(SalesData[[#This Row],[Date]],"YYYY")&amp;"  Q"&amp;INT(MONTH(SalesData[[#This Row],[Date]]/2)+3)</f>
        <v>2024  Q4</v>
      </c>
    </row>
    <row r="176" spans="1:21"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c r="T176" t="str">
        <f>TEXT(SalesData[[#This Row],[Date]],"MMM-YYY")</f>
        <v>May-2023</v>
      </c>
      <c r="U176" t="str">
        <f>TEXT(SalesData[[#This Row],[Date]],"YYYY")&amp;"  Q"&amp;INT(MONTH(SalesData[[#This Row],[Date]]/2)+3)</f>
        <v>2023  Q12</v>
      </c>
    </row>
    <row r="177" spans="1:21"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c r="T177" t="str">
        <f>TEXT(SalesData[[#This Row],[Date]],"MMM-YYY")</f>
        <v>Jun-2025</v>
      </c>
      <c r="U177" t="str">
        <f>TEXT(SalesData[[#This Row],[Date]],"YYYY")&amp;"  Q"&amp;INT(MONTH(SalesData[[#This Row],[Date]]/2)+3)</f>
        <v>2025  Q12</v>
      </c>
    </row>
    <row r="178" spans="1:21"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c r="T178" t="str">
        <f>TEXT(SalesData[[#This Row],[Date]],"MMM-YYY")</f>
        <v>Apr-2023</v>
      </c>
      <c r="U178" t="str">
        <f>TEXT(SalesData[[#This Row],[Date]],"YYYY")&amp;"  Q"&amp;INT(MONTH(SalesData[[#This Row],[Date]]/2)+3)</f>
        <v>2023  Q11</v>
      </c>
    </row>
    <row r="179" spans="1:21"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c r="T179" t="str">
        <f>TEXT(SalesData[[#This Row],[Date]],"MMM-YYY")</f>
        <v>Mar-2025</v>
      </c>
      <c r="U179" t="str">
        <f>TEXT(SalesData[[#This Row],[Date]],"YYYY")&amp;"  Q"&amp;INT(MONTH(SalesData[[#This Row],[Date]]/2)+3)</f>
        <v>2025  Q11</v>
      </c>
    </row>
    <row r="180" spans="1:21"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c r="T180" t="str">
        <f>TEXT(SalesData[[#This Row],[Date]],"MMM-YYY")</f>
        <v>Jul-2024</v>
      </c>
      <c r="U180" t="str">
        <f>TEXT(SalesData[[#This Row],[Date]],"YYYY")&amp;"  Q"&amp;INT(MONTH(SalesData[[#This Row],[Date]]/2)+3)</f>
        <v>2024  Q7</v>
      </c>
    </row>
    <row r="181" spans="1:21"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c r="T181" t="str">
        <f>TEXT(SalesData[[#This Row],[Date]],"MMM-YYY")</f>
        <v>Aug-2024</v>
      </c>
      <c r="U181" t="str">
        <f>TEXT(SalesData[[#This Row],[Date]],"YYYY")&amp;"  Q"&amp;INT(MONTH(SalesData[[#This Row],[Date]]/2)+3)</f>
        <v>2024  Q7</v>
      </c>
    </row>
    <row r="182" spans="1:21"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c r="T182" t="str">
        <f>TEXT(SalesData[[#This Row],[Date]],"MMM-YYY")</f>
        <v>Jun-2025</v>
      </c>
      <c r="U182" t="str">
        <f>TEXT(SalesData[[#This Row],[Date]],"YYYY")&amp;"  Q"&amp;INT(MONTH(SalesData[[#This Row],[Date]]/2)+3)</f>
        <v>2025  Q12</v>
      </c>
    </row>
    <row r="183" spans="1:21"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c r="T183" t="str">
        <f>TEXT(SalesData[[#This Row],[Date]],"MMM-YYY")</f>
        <v>Nov-2024</v>
      </c>
      <c r="U183" t="str">
        <f>TEXT(SalesData[[#This Row],[Date]],"YYYY")&amp;"  Q"&amp;INT(MONTH(SalesData[[#This Row],[Date]]/2)+3)</f>
        <v>2024  Q9</v>
      </c>
    </row>
    <row r="184" spans="1:21"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c r="T184" t="str">
        <f>TEXT(SalesData[[#This Row],[Date]],"MMM-YYY")</f>
        <v>Apr-2025</v>
      </c>
      <c r="U184" t="str">
        <f>TEXT(SalesData[[#This Row],[Date]],"YYYY")&amp;"  Q"&amp;INT(MONTH(SalesData[[#This Row],[Date]]/2)+3)</f>
        <v>2025  Q11</v>
      </c>
    </row>
    <row r="185" spans="1:21"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c r="T185" t="str">
        <f>TEXT(SalesData[[#This Row],[Date]],"MMM-YYY")</f>
        <v>Jul-2024</v>
      </c>
      <c r="U185" t="str">
        <f>TEXT(SalesData[[#This Row],[Date]],"YYYY")&amp;"  Q"&amp;INT(MONTH(SalesData[[#This Row],[Date]]/2)+3)</f>
        <v>2024  Q7</v>
      </c>
    </row>
    <row r="186" spans="1:21"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c r="T186" t="str">
        <f>TEXT(SalesData[[#This Row],[Date]],"MMM-YYY")</f>
        <v>Dec-2023</v>
      </c>
      <c r="U186" t="str">
        <f>TEXT(SalesData[[#This Row],[Date]],"YYYY")&amp;"  Q"&amp;INT(MONTH(SalesData[[#This Row],[Date]]/2)+3)</f>
        <v>2023  Q15</v>
      </c>
    </row>
    <row r="187" spans="1:21"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c r="T187" t="str">
        <f>TEXT(SalesData[[#This Row],[Date]],"MMM-YYY")</f>
        <v>Jun-2023</v>
      </c>
      <c r="U187" t="str">
        <f>TEXT(SalesData[[#This Row],[Date]],"YYYY")&amp;"  Q"&amp;INT(MONTH(SalesData[[#This Row],[Date]]/2)+3)</f>
        <v>2023  Q12</v>
      </c>
    </row>
    <row r="188" spans="1:21"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c r="T188" t="str">
        <f>TEXT(SalesData[[#This Row],[Date]],"MMM-YYY")</f>
        <v>Jul-2023</v>
      </c>
      <c r="U188" t="str">
        <f>TEXT(SalesData[[#This Row],[Date]],"YYYY")&amp;"  Q"&amp;INT(MONTH(SalesData[[#This Row],[Date]]/2)+3)</f>
        <v>2023  Q13</v>
      </c>
    </row>
    <row r="189" spans="1:21"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c r="T189" t="str">
        <f>TEXT(SalesData[[#This Row],[Date]],"MMM-YYY")</f>
        <v>Feb-2023</v>
      </c>
      <c r="U189" t="str">
        <f>TEXT(SalesData[[#This Row],[Date]],"YYYY")&amp;"  Q"&amp;INT(MONTH(SalesData[[#This Row],[Date]]/2)+3)</f>
        <v>2023  Q10</v>
      </c>
    </row>
    <row r="190" spans="1:21"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c r="T190" t="str">
        <f>TEXT(SalesData[[#This Row],[Date]],"MMM-YYY")</f>
        <v>Jun-2024</v>
      </c>
      <c r="U190" t="str">
        <f>TEXT(SalesData[[#This Row],[Date]],"YYYY")&amp;"  Q"&amp;INT(MONTH(SalesData[[#This Row],[Date]]/2)+3)</f>
        <v>2024  Q6</v>
      </c>
    </row>
    <row r="191" spans="1:21"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c r="T191" t="str">
        <f>TEXT(SalesData[[#This Row],[Date]],"MMM-YYY")</f>
        <v>Apr-2024</v>
      </c>
      <c r="U191" t="str">
        <f>TEXT(SalesData[[#This Row],[Date]],"YYYY")&amp;"  Q"&amp;INT(MONTH(SalesData[[#This Row],[Date]]/2)+3)</f>
        <v>2024  Q5</v>
      </c>
    </row>
    <row r="192" spans="1:21"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c r="T192" t="str">
        <f>TEXT(SalesData[[#This Row],[Date]],"MMM-YYY")</f>
        <v>Nov-2023</v>
      </c>
      <c r="U192" t="str">
        <f>TEXT(SalesData[[#This Row],[Date]],"YYYY")&amp;"  Q"&amp;INT(MONTH(SalesData[[#This Row],[Date]]/2)+3)</f>
        <v>2023  Q15</v>
      </c>
    </row>
    <row r="193" spans="1:21"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c r="T193" t="str">
        <f>TEXT(SalesData[[#This Row],[Date]],"MMM-YYY")</f>
        <v>Mar-2025</v>
      </c>
      <c r="U193" t="str">
        <f>TEXT(SalesData[[#This Row],[Date]],"YYYY")&amp;"  Q"&amp;INT(MONTH(SalesData[[#This Row],[Date]]/2)+3)</f>
        <v>2025  Q11</v>
      </c>
    </row>
    <row r="194" spans="1:21"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c r="T194" t="str">
        <f>TEXT(SalesData[[#This Row],[Date]],"MMM-YYY")</f>
        <v>Aug-2023</v>
      </c>
      <c r="U194" t="str">
        <f>TEXT(SalesData[[#This Row],[Date]],"YYYY")&amp;"  Q"&amp;INT(MONTH(SalesData[[#This Row],[Date]]/2)+3)</f>
        <v>2023  Q13</v>
      </c>
    </row>
    <row r="195" spans="1:21"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c r="T195" t="str">
        <f>TEXT(SalesData[[#This Row],[Date]],"MMM-YYY")</f>
        <v>Dec-2024</v>
      </c>
      <c r="U195" t="str">
        <f>TEXT(SalesData[[#This Row],[Date]],"YYYY")&amp;"  Q"&amp;INT(MONTH(SalesData[[#This Row],[Date]]/2)+3)</f>
        <v>2024  Q9</v>
      </c>
    </row>
    <row r="196" spans="1:21"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c r="T196" t="str">
        <f>TEXT(SalesData[[#This Row],[Date]],"MMM-YYY")</f>
        <v>Jan-2025</v>
      </c>
      <c r="U196" t="str">
        <f>TEXT(SalesData[[#This Row],[Date]],"YYYY")&amp;"  Q"&amp;INT(MONTH(SalesData[[#This Row],[Date]]/2)+3)</f>
        <v>2025  Q10</v>
      </c>
    </row>
    <row r="197" spans="1:21"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c r="T197" t="str">
        <f>TEXT(SalesData[[#This Row],[Date]],"MMM-YYY")</f>
        <v>Nov-2023</v>
      </c>
      <c r="U197" t="str">
        <f>TEXT(SalesData[[#This Row],[Date]],"YYYY")&amp;"  Q"&amp;INT(MONTH(SalesData[[#This Row],[Date]]/2)+3)</f>
        <v>2023  Q15</v>
      </c>
    </row>
    <row r="198" spans="1:21"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c r="T198" t="str">
        <f>TEXT(SalesData[[#This Row],[Date]],"MMM-YYY")</f>
        <v>Feb-2023</v>
      </c>
      <c r="U198" t="str">
        <f>TEXT(SalesData[[#This Row],[Date]],"YYYY")&amp;"  Q"&amp;INT(MONTH(SalesData[[#This Row],[Date]]/2)+3)</f>
        <v>2023  Q10</v>
      </c>
    </row>
    <row r="199" spans="1:21"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c r="T199" t="str">
        <f>TEXT(SalesData[[#This Row],[Date]],"MMM-YYY")</f>
        <v>Feb-2025</v>
      </c>
      <c r="U199" t="str">
        <f>TEXT(SalesData[[#This Row],[Date]],"YYYY")&amp;"  Q"&amp;INT(MONTH(SalesData[[#This Row],[Date]]/2)+3)</f>
        <v>2025  Q10</v>
      </c>
    </row>
    <row r="200" spans="1:21"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c r="T200" t="str">
        <f>TEXT(SalesData[[#This Row],[Date]],"MMM-YYY")</f>
        <v>Apr-2023</v>
      </c>
      <c r="U200" t="str">
        <f>TEXT(SalesData[[#This Row],[Date]],"YYYY")&amp;"  Q"&amp;INT(MONTH(SalesData[[#This Row],[Date]]/2)+3)</f>
        <v>2023  Q11</v>
      </c>
    </row>
    <row r="201" spans="1:21"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c r="T201" t="str">
        <f>TEXT(SalesData[[#This Row],[Date]],"MMM-YYY")</f>
        <v>Jul-2024</v>
      </c>
      <c r="U201" t="str">
        <f>TEXT(SalesData[[#This Row],[Date]],"YYYY")&amp;"  Q"&amp;INT(MONTH(SalesData[[#This Row],[Date]]/2)+3)</f>
        <v>2024  Q7</v>
      </c>
    </row>
    <row r="202" spans="1:21"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c r="T202" t="str">
        <f>TEXT(SalesData[[#This Row],[Date]],"MMM-YYY")</f>
        <v>Feb-2023</v>
      </c>
      <c r="U202" t="str">
        <f>TEXT(SalesData[[#This Row],[Date]],"YYYY")&amp;"  Q"&amp;INT(MONTH(SalesData[[#This Row],[Date]]/2)+3)</f>
        <v>2023  Q10</v>
      </c>
    </row>
    <row r="203" spans="1:21"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c r="T203" t="str">
        <f>TEXT(SalesData[[#This Row],[Date]],"MMM-YYY")</f>
        <v>Apr-2024</v>
      </c>
      <c r="U203" t="str">
        <f>TEXT(SalesData[[#This Row],[Date]],"YYYY")&amp;"  Q"&amp;INT(MONTH(SalesData[[#This Row],[Date]]/2)+3)</f>
        <v>2024  Q5</v>
      </c>
    </row>
    <row r="204" spans="1:21"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c r="T204" t="str">
        <f>TEXT(SalesData[[#This Row],[Date]],"MMM-YYY")</f>
        <v>Aug-2023</v>
      </c>
      <c r="U204" t="str">
        <f>TEXT(SalesData[[#This Row],[Date]],"YYYY")&amp;"  Q"&amp;INT(MONTH(SalesData[[#This Row],[Date]]/2)+3)</f>
        <v>2023  Q13</v>
      </c>
    </row>
    <row r="205" spans="1:21"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c r="T205" t="str">
        <f>TEXT(SalesData[[#This Row],[Date]],"MMM-YYY")</f>
        <v>Sep-2024</v>
      </c>
      <c r="U205" t="str">
        <f>TEXT(SalesData[[#This Row],[Date]],"YYYY")&amp;"  Q"&amp;INT(MONTH(SalesData[[#This Row],[Date]]/2)+3)</f>
        <v>2024  Q8</v>
      </c>
    </row>
    <row r="206" spans="1:21"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c r="T206" t="str">
        <f>TEXT(SalesData[[#This Row],[Date]],"MMM-YYY")</f>
        <v>Jun-2025</v>
      </c>
      <c r="U206" t="str">
        <f>TEXT(SalesData[[#This Row],[Date]],"YYYY")&amp;"  Q"&amp;INT(MONTH(SalesData[[#This Row],[Date]]/2)+3)</f>
        <v>2025  Q12</v>
      </c>
    </row>
    <row r="207" spans="1:21"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c r="T207" t="str">
        <f>TEXT(SalesData[[#This Row],[Date]],"MMM-YYY")</f>
        <v>Apr-2025</v>
      </c>
      <c r="U207" t="str">
        <f>TEXT(SalesData[[#This Row],[Date]],"YYYY")&amp;"  Q"&amp;INT(MONTH(SalesData[[#This Row],[Date]]/2)+3)</f>
        <v>2025  Q11</v>
      </c>
    </row>
    <row r="208" spans="1:21"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c r="T208" t="str">
        <f>TEXT(SalesData[[#This Row],[Date]],"MMM-YYY")</f>
        <v>Apr-2023</v>
      </c>
      <c r="U208" t="str">
        <f>TEXT(SalesData[[#This Row],[Date]],"YYYY")&amp;"  Q"&amp;INT(MONTH(SalesData[[#This Row],[Date]]/2)+3)</f>
        <v>2023  Q11</v>
      </c>
    </row>
    <row r="209" spans="1:21"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c r="T209" t="str">
        <f>TEXT(SalesData[[#This Row],[Date]],"MMM-YYY")</f>
        <v>Aug-2024</v>
      </c>
      <c r="U209" t="str">
        <f>TEXT(SalesData[[#This Row],[Date]],"YYYY")&amp;"  Q"&amp;INT(MONTH(SalesData[[#This Row],[Date]]/2)+3)</f>
        <v>2024  Q7</v>
      </c>
    </row>
    <row r="210" spans="1:21"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c r="T210" t="str">
        <f>TEXT(SalesData[[#This Row],[Date]],"MMM-YYY")</f>
        <v>Apr-2023</v>
      </c>
      <c r="U210" t="str">
        <f>TEXT(SalesData[[#This Row],[Date]],"YYYY")&amp;"  Q"&amp;INT(MONTH(SalesData[[#This Row],[Date]]/2)+3)</f>
        <v>2023  Q11</v>
      </c>
    </row>
    <row r="211" spans="1:21"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c r="T211" t="str">
        <f>TEXT(SalesData[[#This Row],[Date]],"MMM-YYY")</f>
        <v>Aug-2023</v>
      </c>
      <c r="U211" t="str">
        <f>TEXT(SalesData[[#This Row],[Date]],"YYYY")&amp;"  Q"&amp;INT(MONTH(SalesData[[#This Row],[Date]]/2)+3)</f>
        <v>2023  Q13</v>
      </c>
    </row>
    <row r="212" spans="1:21"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c r="T212" t="str">
        <f>TEXT(SalesData[[#This Row],[Date]],"MMM-YYY")</f>
        <v>Jun-2023</v>
      </c>
      <c r="U212" t="str">
        <f>TEXT(SalesData[[#This Row],[Date]],"YYYY")&amp;"  Q"&amp;INT(MONTH(SalesData[[#This Row],[Date]]/2)+3)</f>
        <v>2023  Q12</v>
      </c>
    </row>
    <row r="213" spans="1:21"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c r="T213" t="str">
        <f>TEXT(SalesData[[#This Row],[Date]],"MMM-YYY")</f>
        <v>Dec-2023</v>
      </c>
      <c r="U213" t="str">
        <f>TEXT(SalesData[[#This Row],[Date]],"YYYY")&amp;"  Q"&amp;INT(MONTH(SalesData[[#This Row],[Date]]/2)+3)</f>
        <v>2023  Q15</v>
      </c>
    </row>
    <row r="214" spans="1:21"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c r="T214" t="str">
        <f>TEXT(SalesData[[#This Row],[Date]],"MMM-YYY")</f>
        <v>Mar-2023</v>
      </c>
      <c r="U214" t="str">
        <f>TEXT(SalesData[[#This Row],[Date]],"YYYY")&amp;"  Q"&amp;INT(MONTH(SalesData[[#This Row],[Date]]/2)+3)</f>
        <v>2023  Q11</v>
      </c>
    </row>
    <row r="215" spans="1:21"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c r="T215" t="str">
        <f>TEXT(SalesData[[#This Row],[Date]],"MMM-YYY")</f>
        <v>Sep-2023</v>
      </c>
      <c r="U215" t="str">
        <f>TEXT(SalesData[[#This Row],[Date]],"YYYY")&amp;"  Q"&amp;INT(MONTH(SalesData[[#This Row],[Date]]/2)+3)</f>
        <v>2023  Q13</v>
      </c>
    </row>
    <row r="216" spans="1:21"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c r="T216" t="str">
        <f>TEXT(SalesData[[#This Row],[Date]],"MMM-YYY")</f>
        <v>Aug-2024</v>
      </c>
      <c r="U216" t="str">
        <f>TEXT(SalesData[[#This Row],[Date]],"YYYY")&amp;"  Q"&amp;INT(MONTH(SalesData[[#This Row],[Date]]/2)+3)</f>
        <v>2024  Q7</v>
      </c>
    </row>
    <row r="217" spans="1:21"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c r="T217" t="str">
        <f>TEXT(SalesData[[#This Row],[Date]],"MMM-YYY")</f>
        <v>Jan-2025</v>
      </c>
      <c r="U217" t="str">
        <f>TEXT(SalesData[[#This Row],[Date]],"YYYY")&amp;"  Q"&amp;INT(MONTH(SalesData[[#This Row],[Date]]/2)+3)</f>
        <v>2025  Q10</v>
      </c>
    </row>
    <row r="218" spans="1:21"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c r="T218" t="str">
        <f>TEXT(SalesData[[#This Row],[Date]],"MMM-YYY")</f>
        <v>May-2023</v>
      </c>
      <c r="U218" t="str">
        <f>TEXT(SalesData[[#This Row],[Date]],"YYYY")&amp;"  Q"&amp;INT(MONTH(SalesData[[#This Row],[Date]]/2)+3)</f>
        <v>2023  Q12</v>
      </c>
    </row>
    <row r="219" spans="1:21"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c r="T219" t="str">
        <f>TEXT(SalesData[[#This Row],[Date]],"MMM-YYY")</f>
        <v>Feb-2023</v>
      </c>
      <c r="U219" t="str">
        <f>TEXT(SalesData[[#This Row],[Date]],"YYYY")&amp;"  Q"&amp;INT(MONTH(SalesData[[#This Row],[Date]]/2)+3)</f>
        <v>2023  Q10</v>
      </c>
    </row>
    <row r="220" spans="1:21"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c r="T220" t="str">
        <f>TEXT(SalesData[[#This Row],[Date]],"MMM-YYY")</f>
        <v>Jun-2024</v>
      </c>
      <c r="U220" t="str">
        <f>TEXT(SalesData[[#This Row],[Date]],"YYYY")&amp;"  Q"&amp;INT(MONTH(SalesData[[#This Row],[Date]]/2)+3)</f>
        <v>2024  Q6</v>
      </c>
    </row>
    <row r="221" spans="1:21"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c r="T221" t="str">
        <f>TEXT(SalesData[[#This Row],[Date]],"MMM-YYY")</f>
        <v>Nov-2023</v>
      </c>
      <c r="U221" t="str">
        <f>TEXT(SalesData[[#This Row],[Date]],"YYYY")&amp;"  Q"&amp;INT(MONTH(SalesData[[#This Row],[Date]]/2)+3)</f>
        <v>2023  Q15</v>
      </c>
    </row>
    <row r="222" spans="1:21"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c r="T222" t="str">
        <f>TEXT(SalesData[[#This Row],[Date]],"MMM-YYY")</f>
        <v>Jan-2023</v>
      </c>
      <c r="U222" t="str">
        <f>TEXT(SalesData[[#This Row],[Date]],"YYYY")&amp;"  Q"&amp;INT(MONTH(SalesData[[#This Row],[Date]]/2)+3)</f>
        <v>2023  Q10</v>
      </c>
    </row>
    <row r="223" spans="1:21"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c r="T223" t="str">
        <f>TEXT(SalesData[[#This Row],[Date]],"MMM-YYY")</f>
        <v>Mar-2025</v>
      </c>
      <c r="U223" t="str">
        <f>TEXT(SalesData[[#This Row],[Date]],"YYYY")&amp;"  Q"&amp;INT(MONTH(SalesData[[#This Row],[Date]]/2)+3)</f>
        <v>2025  Q11</v>
      </c>
    </row>
    <row r="224" spans="1:21"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c r="T224" t="str">
        <f>TEXT(SalesData[[#This Row],[Date]],"MMM-YYY")</f>
        <v>Feb-2024</v>
      </c>
      <c r="U224" t="str">
        <f>TEXT(SalesData[[#This Row],[Date]],"YYYY")&amp;"  Q"&amp;INT(MONTH(SalesData[[#This Row],[Date]]/2)+3)</f>
        <v>2024  Q4</v>
      </c>
    </row>
    <row r="225" spans="1:21"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c r="T225" t="str">
        <f>TEXT(SalesData[[#This Row],[Date]],"MMM-YYY")</f>
        <v>Apr-2025</v>
      </c>
      <c r="U225" t="str">
        <f>TEXT(SalesData[[#This Row],[Date]],"YYYY")&amp;"  Q"&amp;INT(MONTH(SalesData[[#This Row],[Date]]/2)+3)</f>
        <v>2025  Q11</v>
      </c>
    </row>
    <row r="226" spans="1:21"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c r="T226" t="str">
        <f>TEXT(SalesData[[#This Row],[Date]],"MMM-YYY")</f>
        <v>Jun-2025</v>
      </c>
      <c r="U226" t="str">
        <f>TEXT(SalesData[[#This Row],[Date]],"YYYY")&amp;"  Q"&amp;INT(MONTH(SalesData[[#This Row],[Date]]/2)+3)</f>
        <v>2025  Q12</v>
      </c>
    </row>
    <row r="227" spans="1:21"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c r="T227" t="str">
        <f>TEXT(SalesData[[#This Row],[Date]],"MMM-YYY")</f>
        <v>May-2023</v>
      </c>
      <c r="U227" t="str">
        <f>TEXT(SalesData[[#This Row],[Date]],"YYYY")&amp;"  Q"&amp;INT(MONTH(SalesData[[#This Row],[Date]]/2)+3)</f>
        <v>2023  Q12</v>
      </c>
    </row>
    <row r="228" spans="1:21"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c r="T228" t="str">
        <f>TEXT(SalesData[[#This Row],[Date]],"MMM-YYY")</f>
        <v>Mar-2023</v>
      </c>
      <c r="U228" t="str">
        <f>TEXT(SalesData[[#This Row],[Date]],"YYYY")&amp;"  Q"&amp;INT(MONTH(SalesData[[#This Row],[Date]]/2)+3)</f>
        <v>2023  Q11</v>
      </c>
    </row>
    <row r="229" spans="1:21"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c r="T229" t="str">
        <f>TEXT(SalesData[[#This Row],[Date]],"MMM-YYY")</f>
        <v>Nov-2024</v>
      </c>
      <c r="U229" t="str">
        <f>TEXT(SalesData[[#This Row],[Date]],"YYYY")&amp;"  Q"&amp;INT(MONTH(SalesData[[#This Row],[Date]]/2)+3)</f>
        <v>2024  Q9</v>
      </c>
    </row>
    <row r="230" spans="1:21"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c r="T230" t="str">
        <f>TEXT(SalesData[[#This Row],[Date]],"MMM-YYY")</f>
        <v>Jul-2023</v>
      </c>
      <c r="U230" t="str">
        <f>TEXT(SalesData[[#This Row],[Date]],"YYYY")&amp;"  Q"&amp;INT(MONTH(SalesData[[#This Row],[Date]]/2)+3)</f>
        <v>2023  Q13</v>
      </c>
    </row>
    <row r="231" spans="1:21"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c r="T231" t="str">
        <f>TEXT(SalesData[[#This Row],[Date]],"MMM-YYY")</f>
        <v>Oct-2024</v>
      </c>
      <c r="U231" t="str">
        <f>TEXT(SalesData[[#This Row],[Date]],"YYYY")&amp;"  Q"&amp;INT(MONTH(SalesData[[#This Row],[Date]]/2)+3)</f>
        <v>2024  Q8</v>
      </c>
    </row>
    <row r="232" spans="1:21"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c r="T232" t="str">
        <f>TEXT(SalesData[[#This Row],[Date]],"MMM-YYY")</f>
        <v>Mar-2024</v>
      </c>
      <c r="U232" t="str">
        <f>TEXT(SalesData[[#This Row],[Date]],"YYYY")&amp;"  Q"&amp;INT(MONTH(SalesData[[#This Row],[Date]]/2)+3)</f>
        <v>2024  Q5</v>
      </c>
    </row>
    <row r="233" spans="1:21"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c r="T233" t="str">
        <f>TEXT(SalesData[[#This Row],[Date]],"MMM-YYY")</f>
        <v>Apr-2025</v>
      </c>
      <c r="U233" t="str">
        <f>TEXT(SalesData[[#This Row],[Date]],"YYYY")&amp;"  Q"&amp;INT(MONTH(SalesData[[#This Row],[Date]]/2)+3)</f>
        <v>2025  Q11</v>
      </c>
    </row>
    <row r="234" spans="1:21"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c r="T234" t="str">
        <f>TEXT(SalesData[[#This Row],[Date]],"MMM-YYY")</f>
        <v>Aug-2023</v>
      </c>
      <c r="U234" t="str">
        <f>TEXT(SalesData[[#This Row],[Date]],"YYYY")&amp;"  Q"&amp;INT(MONTH(SalesData[[#This Row],[Date]]/2)+3)</f>
        <v>2023  Q13</v>
      </c>
    </row>
    <row r="235" spans="1:21"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c r="T235" t="str">
        <f>TEXT(SalesData[[#This Row],[Date]],"MMM-YYY")</f>
        <v>Aug-2024</v>
      </c>
      <c r="U235" t="str">
        <f>TEXT(SalesData[[#This Row],[Date]],"YYYY")&amp;"  Q"&amp;INT(MONTH(SalesData[[#This Row],[Date]]/2)+3)</f>
        <v>2024  Q7</v>
      </c>
    </row>
    <row r="236" spans="1:21"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c r="T236" t="str">
        <f>TEXT(SalesData[[#This Row],[Date]],"MMM-YYY")</f>
        <v>Feb-2025</v>
      </c>
      <c r="U236" t="str">
        <f>TEXT(SalesData[[#This Row],[Date]],"YYYY")&amp;"  Q"&amp;INT(MONTH(SalesData[[#This Row],[Date]]/2)+3)</f>
        <v>2025  Q10</v>
      </c>
    </row>
    <row r="237" spans="1:21"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c r="T237" t="str">
        <f>TEXT(SalesData[[#This Row],[Date]],"MMM-YYY")</f>
        <v>Nov-2023</v>
      </c>
      <c r="U237" t="str">
        <f>TEXT(SalesData[[#This Row],[Date]],"YYYY")&amp;"  Q"&amp;INT(MONTH(SalesData[[#This Row],[Date]]/2)+3)</f>
        <v>2023  Q15</v>
      </c>
    </row>
    <row r="238" spans="1:21"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c r="T238" t="str">
        <f>TEXT(SalesData[[#This Row],[Date]],"MMM-YYY")</f>
        <v>Apr-2024</v>
      </c>
      <c r="U238" t="str">
        <f>TEXT(SalesData[[#This Row],[Date]],"YYYY")&amp;"  Q"&amp;INT(MONTH(SalesData[[#This Row],[Date]]/2)+3)</f>
        <v>2024  Q5</v>
      </c>
    </row>
    <row r="239" spans="1:21"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c r="T239" t="str">
        <f>TEXT(SalesData[[#This Row],[Date]],"MMM-YYY")</f>
        <v>Jun-2024</v>
      </c>
      <c r="U239" t="str">
        <f>TEXT(SalesData[[#This Row],[Date]],"YYYY")&amp;"  Q"&amp;INT(MONTH(SalesData[[#This Row],[Date]]/2)+3)</f>
        <v>2024  Q6</v>
      </c>
    </row>
    <row r="240" spans="1:21"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c r="T240" t="str">
        <f>TEXT(SalesData[[#This Row],[Date]],"MMM-YYY")</f>
        <v>Nov-2023</v>
      </c>
      <c r="U240" t="str">
        <f>TEXT(SalesData[[#This Row],[Date]],"YYYY")&amp;"  Q"&amp;INT(MONTH(SalesData[[#This Row],[Date]]/2)+3)</f>
        <v>2023  Q15</v>
      </c>
    </row>
    <row r="241" spans="1:21"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c r="T241" t="str">
        <f>TEXT(SalesData[[#This Row],[Date]],"MMM-YYY")</f>
        <v>Nov-2024</v>
      </c>
      <c r="U241" t="str">
        <f>TEXT(SalesData[[#This Row],[Date]],"YYYY")&amp;"  Q"&amp;INT(MONTH(SalesData[[#This Row],[Date]]/2)+3)</f>
        <v>2024  Q9</v>
      </c>
    </row>
    <row r="242" spans="1:21"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c r="T242" t="str">
        <f>TEXT(SalesData[[#This Row],[Date]],"MMM-YYY")</f>
        <v>Nov-2024</v>
      </c>
      <c r="U242" t="str">
        <f>TEXT(SalesData[[#This Row],[Date]],"YYYY")&amp;"  Q"&amp;INT(MONTH(SalesData[[#This Row],[Date]]/2)+3)</f>
        <v>2024  Q9</v>
      </c>
    </row>
    <row r="243" spans="1:21"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c r="T243" t="str">
        <f>TEXT(SalesData[[#This Row],[Date]],"MMM-YYY")</f>
        <v>Jan-2023</v>
      </c>
      <c r="U243" t="str">
        <f>TEXT(SalesData[[#This Row],[Date]],"YYYY")&amp;"  Q"&amp;INT(MONTH(SalesData[[#This Row],[Date]]/2)+3)</f>
        <v>2023  Q10</v>
      </c>
    </row>
    <row r="244" spans="1:21"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c r="T244" t="str">
        <f>TEXT(SalesData[[#This Row],[Date]],"MMM-YYY")</f>
        <v>Jan-2025</v>
      </c>
      <c r="U244" t="str">
        <f>TEXT(SalesData[[#This Row],[Date]],"YYYY")&amp;"  Q"&amp;INT(MONTH(SalesData[[#This Row],[Date]]/2)+3)</f>
        <v>2025  Q10</v>
      </c>
    </row>
    <row r="245" spans="1:21"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c r="T245" t="str">
        <f>TEXT(SalesData[[#This Row],[Date]],"MMM-YYY")</f>
        <v>May-2023</v>
      </c>
      <c r="U245" t="str">
        <f>TEXT(SalesData[[#This Row],[Date]],"YYYY")&amp;"  Q"&amp;INT(MONTH(SalesData[[#This Row],[Date]]/2)+3)</f>
        <v>2023  Q11</v>
      </c>
    </row>
    <row r="246" spans="1:21"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c r="T246" t="str">
        <f>TEXT(SalesData[[#This Row],[Date]],"MMM-YYY")</f>
        <v>May-2025</v>
      </c>
      <c r="U246" t="str">
        <f>TEXT(SalesData[[#This Row],[Date]],"YYYY")&amp;"  Q"&amp;INT(MONTH(SalesData[[#This Row],[Date]]/2)+3)</f>
        <v>2025  Q12</v>
      </c>
    </row>
    <row r="247" spans="1:21"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c r="T247" t="str">
        <f>TEXT(SalesData[[#This Row],[Date]],"MMM-YYY")</f>
        <v>Dec-2024</v>
      </c>
      <c r="U247" t="str">
        <f>TEXT(SalesData[[#This Row],[Date]],"YYYY")&amp;"  Q"&amp;INT(MONTH(SalesData[[#This Row],[Date]]/2)+3)</f>
        <v>2024  Q9</v>
      </c>
    </row>
    <row r="248" spans="1:21"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c r="T248" t="str">
        <f>TEXT(SalesData[[#This Row],[Date]],"MMM-YYY")</f>
        <v>Mar-2025</v>
      </c>
      <c r="U248" t="str">
        <f>TEXT(SalesData[[#This Row],[Date]],"YYYY")&amp;"  Q"&amp;INT(MONTH(SalesData[[#This Row],[Date]]/2)+3)</f>
        <v>2025  Q11</v>
      </c>
    </row>
    <row r="249" spans="1:21"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c r="T249" t="str">
        <f>TEXT(SalesData[[#This Row],[Date]],"MMM-YYY")</f>
        <v>Mar-2024</v>
      </c>
      <c r="U249" t="str">
        <f>TEXT(SalesData[[#This Row],[Date]],"YYYY")&amp;"  Q"&amp;INT(MONTH(SalesData[[#This Row],[Date]]/2)+3)</f>
        <v>2024  Q5</v>
      </c>
    </row>
    <row r="250" spans="1:21"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c r="T250" t="str">
        <f>TEXT(SalesData[[#This Row],[Date]],"MMM-YYY")</f>
        <v>Dec-2024</v>
      </c>
      <c r="U250" t="str">
        <f>TEXT(SalesData[[#This Row],[Date]],"YYYY")&amp;"  Q"&amp;INT(MONTH(SalesData[[#This Row],[Date]]/2)+3)</f>
        <v>2024  Q9</v>
      </c>
    </row>
    <row r="251" spans="1:21"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c r="T251" t="str">
        <f>TEXT(SalesData[[#This Row],[Date]],"MMM-YYY")</f>
        <v>Jan-2023</v>
      </c>
      <c r="U251" t="str">
        <f>TEXT(SalesData[[#This Row],[Date]],"YYYY")&amp;"  Q"&amp;INT(MONTH(SalesData[[#This Row],[Date]]/2)+3)</f>
        <v>2023  Q10</v>
      </c>
    </row>
    <row r="252" spans="1:21"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c r="T252" t="str">
        <f>TEXT(SalesData[[#This Row],[Date]],"MMM-YYY")</f>
        <v>Jun-2025</v>
      </c>
      <c r="U252" t="str">
        <f>TEXT(SalesData[[#This Row],[Date]],"YYYY")&amp;"  Q"&amp;INT(MONTH(SalesData[[#This Row],[Date]]/2)+3)</f>
        <v>2025  Q12</v>
      </c>
    </row>
    <row r="253" spans="1:21"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c r="T253" t="str">
        <f>TEXT(SalesData[[#This Row],[Date]],"MMM-YYY")</f>
        <v>Sep-2024</v>
      </c>
      <c r="U253" t="str">
        <f>TEXT(SalesData[[#This Row],[Date]],"YYYY")&amp;"  Q"&amp;INT(MONTH(SalesData[[#This Row],[Date]]/2)+3)</f>
        <v>2024  Q8</v>
      </c>
    </row>
    <row r="254" spans="1:21"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c r="T254" t="str">
        <f>TEXT(SalesData[[#This Row],[Date]],"MMM-YYY")</f>
        <v>Aug-2024</v>
      </c>
      <c r="U254" t="str">
        <f>TEXT(SalesData[[#This Row],[Date]],"YYYY")&amp;"  Q"&amp;INT(MONTH(SalesData[[#This Row],[Date]]/2)+3)</f>
        <v>2024  Q7</v>
      </c>
    </row>
    <row r="255" spans="1:21"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c r="T255" t="str">
        <f>TEXT(SalesData[[#This Row],[Date]],"MMM-YYY")</f>
        <v>Mar-2025</v>
      </c>
      <c r="U255" t="str">
        <f>TEXT(SalesData[[#This Row],[Date]],"YYYY")&amp;"  Q"&amp;INT(MONTH(SalesData[[#This Row],[Date]]/2)+3)</f>
        <v>2025  Q11</v>
      </c>
    </row>
    <row r="256" spans="1:21"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c r="T256" t="str">
        <f>TEXT(SalesData[[#This Row],[Date]],"MMM-YYY")</f>
        <v>Feb-2023</v>
      </c>
      <c r="U256" t="str">
        <f>TEXT(SalesData[[#This Row],[Date]],"YYYY")&amp;"  Q"&amp;INT(MONTH(SalesData[[#This Row],[Date]]/2)+3)</f>
        <v>2023  Q10</v>
      </c>
    </row>
    <row r="257" spans="1:21"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c r="T257" t="str">
        <f>TEXT(SalesData[[#This Row],[Date]],"MMM-YYY")</f>
        <v>Nov-2024</v>
      </c>
      <c r="U257" t="str">
        <f>TEXT(SalesData[[#This Row],[Date]],"YYYY")&amp;"  Q"&amp;INT(MONTH(SalesData[[#This Row],[Date]]/2)+3)</f>
        <v>2024  Q9</v>
      </c>
    </row>
    <row r="258" spans="1:21"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c r="T258" t="str">
        <f>TEXT(SalesData[[#This Row],[Date]],"MMM-YYY")</f>
        <v>Aug-2023</v>
      </c>
      <c r="U258" t="str">
        <f>TEXT(SalesData[[#This Row],[Date]],"YYYY")&amp;"  Q"&amp;INT(MONTH(SalesData[[#This Row],[Date]]/2)+3)</f>
        <v>2023  Q13</v>
      </c>
    </row>
    <row r="259" spans="1:21"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c r="T259" t="str">
        <f>TEXT(SalesData[[#This Row],[Date]],"MMM-YYY")</f>
        <v>Jan-2024</v>
      </c>
      <c r="U259" t="str">
        <f>TEXT(SalesData[[#This Row],[Date]],"YYYY")&amp;"  Q"&amp;INT(MONTH(SalesData[[#This Row],[Date]]/2)+3)</f>
        <v>2024  Q15</v>
      </c>
    </row>
    <row r="260" spans="1:21"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c r="T260" t="str">
        <f>TEXT(SalesData[[#This Row],[Date]],"MMM-YYY")</f>
        <v>Nov-2024</v>
      </c>
      <c r="U260" t="str">
        <f>TEXT(SalesData[[#This Row],[Date]],"YYYY")&amp;"  Q"&amp;INT(MONTH(SalesData[[#This Row],[Date]]/2)+3)</f>
        <v>2024  Q9</v>
      </c>
    </row>
    <row r="261" spans="1:21"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c r="T261" t="str">
        <f>TEXT(SalesData[[#This Row],[Date]],"MMM-YYY")</f>
        <v>Aug-2024</v>
      </c>
      <c r="U261" t="str">
        <f>TEXT(SalesData[[#This Row],[Date]],"YYYY")&amp;"  Q"&amp;INT(MONTH(SalesData[[#This Row],[Date]]/2)+3)</f>
        <v>2024  Q7</v>
      </c>
    </row>
    <row r="262" spans="1:21"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c r="T262" t="str">
        <f>TEXT(SalesData[[#This Row],[Date]],"MMM-YYY")</f>
        <v>Jun-2023</v>
      </c>
      <c r="U262" t="str">
        <f>TEXT(SalesData[[#This Row],[Date]],"YYYY")&amp;"  Q"&amp;INT(MONTH(SalesData[[#This Row],[Date]]/2)+3)</f>
        <v>2023  Q12</v>
      </c>
    </row>
    <row r="263" spans="1:21"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c r="T263" t="str">
        <f>TEXT(SalesData[[#This Row],[Date]],"MMM-YYY")</f>
        <v>Dec-2024</v>
      </c>
      <c r="U263" t="str">
        <f>TEXT(SalesData[[#This Row],[Date]],"YYYY")&amp;"  Q"&amp;INT(MONTH(SalesData[[#This Row],[Date]]/2)+3)</f>
        <v>2024  Q9</v>
      </c>
    </row>
    <row r="264" spans="1:21"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c r="T264" t="str">
        <f>TEXT(SalesData[[#This Row],[Date]],"MMM-YYY")</f>
        <v>Aug-2023</v>
      </c>
      <c r="U264" t="str">
        <f>TEXT(SalesData[[#This Row],[Date]],"YYYY")&amp;"  Q"&amp;INT(MONTH(SalesData[[#This Row],[Date]]/2)+3)</f>
        <v>2023  Q13</v>
      </c>
    </row>
    <row r="265" spans="1:21"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c r="T265" t="str">
        <f>TEXT(SalesData[[#This Row],[Date]],"MMM-YYY")</f>
        <v>Jan-2023</v>
      </c>
      <c r="U265" t="str">
        <f>TEXT(SalesData[[#This Row],[Date]],"YYYY")&amp;"  Q"&amp;INT(MONTH(SalesData[[#This Row],[Date]]/2)+3)</f>
        <v>2023  Q10</v>
      </c>
    </row>
    <row r="266" spans="1:21"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c r="T266" t="str">
        <f>TEXT(SalesData[[#This Row],[Date]],"MMM-YYY")</f>
        <v>Feb-2023</v>
      </c>
      <c r="U266" t="str">
        <f>TEXT(SalesData[[#This Row],[Date]],"YYYY")&amp;"  Q"&amp;INT(MONTH(SalesData[[#This Row],[Date]]/2)+3)</f>
        <v>2023  Q10</v>
      </c>
    </row>
    <row r="267" spans="1:21"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c r="T267" t="str">
        <f>TEXT(SalesData[[#This Row],[Date]],"MMM-YYY")</f>
        <v>Nov-2023</v>
      </c>
      <c r="U267" t="str">
        <f>TEXT(SalesData[[#This Row],[Date]],"YYYY")&amp;"  Q"&amp;INT(MONTH(SalesData[[#This Row],[Date]]/2)+3)</f>
        <v>2023  Q15</v>
      </c>
    </row>
    <row r="268" spans="1:21"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c r="T268" t="str">
        <f>TEXT(SalesData[[#This Row],[Date]],"MMM-YYY")</f>
        <v>Jan-2023</v>
      </c>
      <c r="U268" t="str">
        <f>TEXT(SalesData[[#This Row],[Date]],"YYYY")&amp;"  Q"&amp;INT(MONTH(SalesData[[#This Row],[Date]]/2)+3)</f>
        <v>2023  Q10</v>
      </c>
    </row>
    <row r="269" spans="1:21"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c r="T269" t="str">
        <f>TEXT(SalesData[[#This Row],[Date]],"MMM-YYY")</f>
        <v>Mar-2025</v>
      </c>
      <c r="U269" t="str">
        <f>TEXT(SalesData[[#This Row],[Date]],"YYYY")&amp;"  Q"&amp;INT(MONTH(SalesData[[#This Row],[Date]]/2)+3)</f>
        <v>2025  Q11</v>
      </c>
    </row>
    <row r="270" spans="1:21"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c r="T270" t="str">
        <f>TEXT(SalesData[[#This Row],[Date]],"MMM-YYY")</f>
        <v>Feb-2023</v>
      </c>
      <c r="U270" t="str">
        <f>TEXT(SalesData[[#This Row],[Date]],"YYYY")&amp;"  Q"&amp;INT(MONTH(SalesData[[#This Row],[Date]]/2)+3)</f>
        <v>2023  Q10</v>
      </c>
    </row>
    <row r="271" spans="1:21"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c r="T271" t="str">
        <f>TEXT(SalesData[[#This Row],[Date]],"MMM-YYY")</f>
        <v>May-2023</v>
      </c>
      <c r="U271" t="str">
        <f>TEXT(SalesData[[#This Row],[Date]],"YYYY")&amp;"  Q"&amp;INT(MONTH(SalesData[[#This Row],[Date]]/2)+3)</f>
        <v>2023  Q12</v>
      </c>
    </row>
    <row r="272" spans="1:21"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c r="T272" t="str">
        <f>TEXT(SalesData[[#This Row],[Date]],"MMM-YYY")</f>
        <v>May-2024</v>
      </c>
      <c r="U272" t="str">
        <f>TEXT(SalesData[[#This Row],[Date]],"YYYY")&amp;"  Q"&amp;INT(MONTH(SalesData[[#This Row],[Date]]/2)+3)</f>
        <v>2024  Q6</v>
      </c>
    </row>
    <row r="273" spans="1:21"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c r="T273" t="str">
        <f>TEXT(SalesData[[#This Row],[Date]],"MMM-YYY")</f>
        <v>Jan-2024</v>
      </c>
      <c r="U273" t="str">
        <f>TEXT(SalesData[[#This Row],[Date]],"YYYY")&amp;"  Q"&amp;INT(MONTH(SalesData[[#This Row],[Date]]/2)+3)</f>
        <v>2024  Q4</v>
      </c>
    </row>
    <row r="274" spans="1:21"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c r="T274" t="str">
        <f>TEXT(SalesData[[#This Row],[Date]],"MMM-YYY")</f>
        <v>Feb-2023</v>
      </c>
      <c r="U274" t="str">
        <f>TEXT(SalesData[[#This Row],[Date]],"YYYY")&amp;"  Q"&amp;INT(MONTH(SalesData[[#This Row],[Date]]/2)+3)</f>
        <v>2023  Q10</v>
      </c>
    </row>
    <row r="275" spans="1:21"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c r="T275" t="str">
        <f>TEXT(SalesData[[#This Row],[Date]],"MMM-YYY")</f>
        <v>Jul-2024</v>
      </c>
      <c r="U275" t="str">
        <f>TEXT(SalesData[[#This Row],[Date]],"YYYY")&amp;"  Q"&amp;INT(MONTH(SalesData[[#This Row],[Date]]/2)+3)</f>
        <v>2024  Q7</v>
      </c>
    </row>
    <row r="276" spans="1:21"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c r="T276" t="str">
        <f>TEXT(SalesData[[#This Row],[Date]],"MMM-YYY")</f>
        <v>Mar-2025</v>
      </c>
      <c r="U276" t="str">
        <f>TEXT(SalesData[[#This Row],[Date]],"YYYY")&amp;"  Q"&amp;INT(MONTH(SalesData[[#This Row],[Date]]/2)+3)</f>
        <v>2025  Q11</v>
      </c>
    </row>
    <row r="277" spans="1:21"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c r="T277" t="str">
        <f>TEXT(SalesData[[#This Row],[Date]],"MMM-YYY")</f>
        <v>Jul-2023</v>
      </c>
      <c r="U277" t="str">
        <f>TEXT(SalesData[[#This Row],[Date]],"YYYY")&amp;"  Q"&amp;INT(MONTH(SalesData[[#This Row],[Date]]/2)+3)</f>
        <v>2023  Q13</v>
      </c>
    </row>
    <row r="278" spans="1:21"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c r="T278" t="str">
        <f>TEXT(SalesData[[#This Row],[Date]],"MMM-YYY")</f>
        <v>Jul-2023</v>
      </c>
      <c r="U278" t="str">
        <f>TEXT(SalesData[[#This Row],[Date]],"YYYY")&amp;"  Q"&amp;INT(MONTH(SalesData[[#This Row],[Date]]/2)+3)</f>
        <v>2023  Q13</v>
      </c>
    </row>
    <row r="279" spans="1:21"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c r="T279" t="str">
        <f>TEXT(SalesData[[#This Row],[Date]],"MMM-YYY")</f>
        <v>Apr-2024</v>
      </c>
      <c r="U279" t="str">
        <f>TEXT(SalesData[[#This Row],[Date]],"YYYY")&amp;"  Q"&amp;INT(MONTH(SalesData[[#This Row],[Date]]/2)+3)</f>
        <v>2024  Q5</v>
      </c>
    </row>
    <row r="280" spans="1:21"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c r="T280" t="str">
        <f>TEXT(SalesData[[#This Row],[Date]],"MMM-YYY")</f>
        <v>Jan-2025</v>
      </c>
      <c r="U280" t="str">
        <f>TEXT(SalesData[[#This Row],[Date]],"YYYY")&amp;"  Q"&amp;INT(MONTH(SalesData[[#This Row],[Date]]/2)+3)</f>
        <v>2025  Q10</v>
      </c>
    </row>
    <row r="281" spans="1:21"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c r="T281" t="str">
        <f>TEXT(SalesData[[#This Row],[Date]],"MMM-YYY")</f>
        <v>Apr-2025</v>
      </c>
      <c r="U281" t="str">
        <f>TEXT(SalesData[[#This Row],[Date]],"YYYY")&amp;"  Q"&amp;INT(MONTH(SalesData[[#This Row],[Date]]/2)+3)</f>
        <v>2025  Q11</v>
      </c>
    </row>
    <row r="282" spans="1:21"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c r="T282" t="str">
        <f>TEXT(SalesData[[#This Row],[Date]],"MMM-YYY")</f>
        <v>Feb-2025</v>
      </c>
      <c r="U282" t="str">
        <f>TEXT(SalesData[[#This Row],[Date]],"YYYY")&amp;"  Q"&amp;INT(MONTH(SalesData[[#This Row],[Date]]/2)+3)</f>
        <v>2025  Q10</v>
      </c>
    </row>
    <row r="283" spans="1:21"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c r="T283" t="str">
        <f>TEXT(SalesData[[#This Row],[Date]],"MMM-YYY")</f>
        <v>Sep-2023</v>
      </c>
      <c r="U283" t="str">
        <f>TEXT(SalesData[[#This Row],[Date]],"YYYY")&amp;"  Q"&amp;INT(MONTH(SalesData[[#This Row],[Date]]/2)+3)</f>
        <v>2023  Q14</v>
      </c>
    </row>
    <row r="284" spans="1:21"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c r="T284" t="str">
        <f>TEXT(SalesData[[#This Row],[Date]],"MMM-YYY")</f>
        <v>Apr-2024</v>
      </c>
      <c r="U284" t="str">
        <f>TEXT(SalesData[[#This Row],[Date]],"YYYY")&amp;"  Q"&amp;INT(MONTH(SalesData[[#This Row],[Date]]/2)+3)</f>
        <v>2024  Q5</v>
      </c>
    </row>
    <row r="285" spans="1:21"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c r="T285" t="str">
        <f>TEXT(SalesData[[#This Row],[Date]],"MMM-YYY")</f>
        <v>Nov-2024</v>
      </c>
      <c r="U285" t="str">
        <f>TEXT(SalesData[[#This Row],[Date]],"YYYY")&amp;"  Q"&amp;INT(MONTH(SalesData[[#This Row],[Date]]/2)+3)</f>
        <v>2024  Q9</v>
      </c>
    </row>
    <row r="286" spans="1:21"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c r="T286" t="str">
        <f>TEXT(SalesData[[#This Row],[Date]],"MMM-YYY")</f>
        <v>Jul-2024</v>
      </c>
      <c r="U286" t="str">
        <f>TEXT(SalesData[[#This Row],[Date]],"YYYY")&amp;"  Q"&amp;INT(MONTH(SalesData[[#This Row],[Date]]/2)+3)</f>
        <v>2024  Q7</v>
      </c>
    </row>
    <row r="287" spans="1:21"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c r="T287" t="str">
        <f>TEXT(SalesData[[#This Row],[Date]],"MMM-YYY")</f>
        <v>Aug-2024</v>
      </c>
      <c r="U287" t="str">
        <f>TEXT(SalesData[[#This Row],[Date]],"YYYY")&amp;"  Q"&amp;INT(MONTH(SalesData[[#This Row],[Date]]/2)+3)</f>
        <v>2024  Q7</v>
      </c>
    </row>
    <row r="288" spans="1:21"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c r="T288" t="str">
        <f>TEXT(SalesData[[#This Row],[Date]],"MMM-YYY")</f>
        <v>Jan-2025</v>
      </c>
      <c r="U288" t="str">
        <f>TEXT(SalesData[[#This Row],[Date]],"YYYY")&amp;"  Q"&amp;INT(MONTH(SalesData[[#This Row],[Date]]/2)+3)</f>
        <v>2025  Q10</v>
      </c>
    </row>
    <row r="289" spans="1:21"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c r="T289" t="str">
        <f>TEXT(SalesData[[#This Row],[Date]],"MMM-YYY")</f>
        <v>Apr-2025</v>
      </c>
      <c r="U289" t="str">
        <f>TEXT(SalesData[[#This Row],[Date]],"YYYY")&amp;"  Q"&amp;INT(MONTH(SalesData[[#This Row],[Date]]/2)+3)</f>
        <v>2025  Q11</v>
      </c>
    </row>
    <row r="290" spans="1:21"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c r="T290" t="str">
        <f>TEXT(SalesData[[#This Row],[Date]],"MMM-YYY")</f>
        <v>Sep-2024</v>
      </c>
      <c r="U290" t="str">
        <f>TEXT(SalesData[[#This Row],[Date]],"YYYY")&amp;"  Q"&amp;INT(MONTH(SalesData[[#This Row],[Date]]/2)+3)</f>
        <v>2024  Q8</v>
      </c>
    </row>
    <row r="291" spans="1:21"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c r="T291" t="str">
        <f>TEXT(SalesData[[#This Row],[Date]],"MMM-YYY")</f>
        <v>Sep-2023</v>
      </c>
      <c r="U291" t="str">
        <f>TEXT(SalesData[[#This Row],[Date]],"YYYY")&amp;"  Q"&amp;INT(MONTH(SalesData[[#This Row],[Date]]/2)+3)</f>
        <v>2023  Q14</v>
      </c>
    </row>
    <row r="292" spans="1:21"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c r="T292" t="str">
        <f>TEXT(SalesData[[#This Row],[Date]],"MMM-YYY")</f>
        <v>Apr-2025</v>
      </c>
      <c r="U292" t="str">
        <f>TEXT(SalesData[[#This Row],[Date]],"YYYY")&amp;"  Q"&amp;INT(MONTH(SalesData[[#This Row],[Date]]/2)+3)</f>
        <v>2025  Q11</v>
      </c>
    </row>
    <row r="293" spans="1:21"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c r="T293" t="str">
        <f>TEXT(SalesData[[#This Row],[Date]],"MMM-YYY")</f>
        <v>Jun-2024</v>
      </c>
      <c r="U293" t="str">
        <f>TEXT(SalesData[[#This Row],[Date]],"YYYY")&amp;"  Q"&amp;INT(MONTH(SalesData[[#This Row],[Date]]/2)+3)</f>
        <v>2024  Q6</v>
      </c>
    </row>
    <row r="294" spans="1:21"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c r="T294" t="str">
        <f>TEXT(SalesData[[#This Row],[Date]],"MMM-YYY")</f>
        <v>Jan-2023</v>
      </c>
      <c r="U294" t="str">
        <f>TEXT(SalesData[[#This Row],[Date]],"YYYY")&amp;"  Q"&amp;INT(MONTH(SalesData[[#This Row],[Date]]/2)+3)</f>
        <v>2023  Q10</v>
      </c>
    </row>
    <row r="295" spans="1:21"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c r="T295" t="str">
        <f>TEXT(SalesData[[#This Row],[Date]],"MMM-YYY")</f>
        <v>Jul-2023</v>
      </c>
      <c r="U295" t="str">
        <f>TEXT(SalesData[[#This Row],[Date]],"YYYY")&amp;"  Q"&amp;INT(MONTH(SalesData[[#This Row],[Date]]/2)+3)</f>
        <v>2023  Q13</v>
      </c>
    </row>
    <row r="296" spans="1:21"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c r="T296" t="str">
        <f>TEXT(SalesData[[#This Row],[Date]],"MMM-YYY")</f>
        <v>Mar-2025</v>
      </c>
      <c r="U296" t="str">
        <f>TEXT(SalesData[[#This Row],[Date]],"YYYY")&amp;"  Q"&amp;INT(MONTH(SalesData[[#This Row],[Date]]/2)+3)</f>
        <v>2025  Q11</v>
      </c>
    </row>
    <row r="297" spans="1:21"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c r="T297" t="str">
        <f>TEXT(SalesData[[#This Row],[Date]],"MMM-YYY")</f>
        <v>Feb-2025</v>
      </c>
      <c r="U297" t="str">
        <f>TEXT(SalesData[[#This Row],[Date]],"YYYY")&amp;"  Q"&amp;INT(MONTH(SalesData[[#This Row],[Date]]/2)+3)</f>
        <v>2025  Q10</v>
      </c>
    </row>
    <row r="298" spans="1:21"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c r="T298" t="str">
        <f>TEXT(SalesData[[#This Row],[Date]],"MMM-YYY")</f>
        <v>Mar-2025</v>
      </c>
      <c r="U298" t="str">
        <f>TEXT(SalesData[[#This Row],[Date]],"YYYY")&amp;"  Q"&amp;INT(MONTH(SalesData[[#This Row],[Date]]/2)+3)</f>
        <v>2025  Q11</v>
      </c>
    </row>
    <row r="299" spans="1:21"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c r="T299" t="str">
        <f>TEXT(SalesData[[#This Row],[Date]],"MMM-YYY")</f>
        <v>Nov-2023</v>
      </c>
      <c r="U299" t="str">
        <f>TEXT(SalesData[[#This Row],[Date]],"YYYY")&amp;"  Q"&amp;INT(MONTH(SalesData[[#This Row],[Date]]/2)+3)</f>
        <v>2023  Q15</v>
      </c>
    </row>
    <row r="300" spans="1:21"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c r="T300" t="str">
        <f>TEXT(SalesData[[#This Row],[Date]],"MMM-YYY")</f>
        <v>Nov-2023</v>
      </c>
      <c r="U300" t="str">
        <f>TEXT(SalesData[[#This Row],[Date]],"YYYY")&amp;"  Q"&amp;INT(MONTH(SalesData[[#This Row],[Date]]/2)+3)</f>
        <v>2023  Q15</v>
      </c>
    </row>
    <row r="301" spans="1:21"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c r="T301" t="str">
        <f>TEXT(SalesData[[#This Row],[Date]],"MMM-YYY")</f>
        <v>Aug-2024</v>
      </c>
      <c r="U301" t="str">
        <f>TEXT(SalesData[[#This Row],[Date]],"YYYY")&amp;"  Q"&amp;INT(MONTH(SalesData[[#This Row],[Date]]/2)+3)</f>
        <v>2024  Q7</v>
      </c>
    </row>
    <row r="302" spans="1:21"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c r="T302" t="str">
        <f>TEXT(SalesData[[#This Row],[Date]],"MMM-YYY")</f>
        <v>Mar-2023</v>
      </c>
      <c r="U302" t="str">
        <f>TEXT(SalesData[[#This Row],[Date]],"YYYY")&amp;"  Q"&amp;INT(MONTH(SalesData[[#This Row],[Date]]/2)+3)</f>
        <v>2023  Q11</v>
      </c>
    </row>
    <row r="303" spans="1:21"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c r="T303" t="str">
        <f>TEXT(SalesData[[#This Row],[Date]],"MMM-YYY")</f>
        <v>Oct-2023</v>
      </c>
      <c r="U303" t="str">
        <f>TEXT(SalesData[[#This Row],[Date]],"YYYY")&amp;"  Q"&amp;INT(MONTH(SalesData[[#This Row],[Date]]/2)+3)</f>
        <v>2023  Q14</v>
      </c>
    </row>
    <row r="304" spans="1:21"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c r="T304" t="str">
        <f>TEXT(SalesData[[#This Row],[Date]],"MMM-YYY")</f>
        <v>Nov-2023</v>
      </c>
      <c r="U304" t="str">
        <f>TEXT(SalesData[[#This Row],[Date]],"YYYY")&amp;"  Q"&amp;INT(MONTH(SalesData[[#This Row],[Date]]/2)+3)</f>
        <v>2023  Q15</v>
      </c>
    </row>
    <row r="305" spans="1:21"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c r="T305" t="str">
        <f>TEXT(SalesData[[#This Row],[Date]],"MMM-YYY")</f>
        <v>Jan-2025</v>
      </c>
      <c r="U305" t="str">
        <f>TEXT(SalesData[[#This Row],[Date]],"YYYY")&amp;"  Q"&amp;INT(MONTH(SalesData[[#This Row],[Date]]/2)+3)</f>
        <v>2025  Q10</v>
      </c>
    </row>
    <row r="306" spans="1:21"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c r="T306" t="str">
        <f>TEXT(SalesData[[#This Row],[Date]],"MMM-YYY")</f>
        <v>Jan-2024</v>
      </c>
      <c r="U306" t="str">
        <f>TEXT(SalesData[[#This Row],[Date]],"YYYY")&amp;"  Q"&amp;INT(MONTH(SalesData[[#This Row],[Date]]/2)+3)</f>
        <v>2024  Q4</v>
      </c>
    </row>
    <row r="307" spans="1:21"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c r="T307" t="str">
        <f>TEXT(SalesData[[#This Row],[Date]],"MMM-YYY")</f>
        <v>Mar-2025</v>
      </c>
      <c r="U307" t="str">
        <f>TEXT(SalesData[[#This Row],[Date]],"YYYY")&amp;"  Q"&amp;INT(MONTH(SalesData[[#This Row],[Date]]/2)+3)</f>
        <v>2025  Q11</v>
      </c>
    </row>
    <row r="308" spans="1:21"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c r="T308" t="str">
        <f>TEXT(SalesData[[#This Row],[Date]],"MMM-YYY")</f>
        <v>Nov-2024</v>
      </c>
      <c r="U308" t="str">
        <f>TEXT(SalesData[[#This Row],[Date]],"YYYY")&amp;"  Q"&amp;INT(MONTH(SalesData[[#This Row],[Date]]/2)+3)</f>
        <v>2024  Q9</v>
      </c>
    </row>
    <row r="309" spans="1:21"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c r="T309" t="str">
        <f>TEXT(SalesData[[#This Row],[Date]],"MMM-YYY")</f>
        <v>Jun-2024</v>
      </c>
      <c r="U309" t="str">
        <f>TEXT(SalesData[[#This Row],[Date]],"YYYY")&amp;"  Q"&amp;INT(MONTH(SalesData[[#This Row],[Date]]/2)+3)</f>
        <v>2024  Q6</v>
      </c>
    </row>
    <row r="310" spans="1:21"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c r="T310" t="str">
        <f>TEXT(SalesData[[#This Row],[Date]],"MMM-YYY")</f>
        <v>Jan-2023</v>
      </c>
      <c r="U310" t="str">
        <f>TEXT(SalesData[[#This Row],[Date]],"YYYY")&amp;"  Q"&amp;INT(MONTH(SalesData[[#This Row],[Date]]/2)+3)</f>
        <v>2023  Q10</v>
      </c>
    </row>
    <row r="311" spans="1:21"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c r="T311" t="str">
        <f>TEXT(SalesData[[#This Row],[Date]],"MMM-YYY")</f>
        <v>Jun-2025</v>
      </c>
      <c r="U311" t="str">
        <f>TEXT(SalesData[[#This Row],[Date]],"YYYY")&amp;"  Q"&amp;INT(MONTH(SalesData[[#This Row],[Date]]/2)+3)</f>
        <v>2025  Q12</v>
      </c>
    </row>
    <row r="312" spans="1:21"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c r="T312" t="str">
        <f>TEXT(SalesData[[#This Row],[Date]],"MMM-YYY")</f>
        <v>Mar-2024</v>
      </c>
      <c r="U312" t="str">
        <f>TEXT(SalesData[[#This Row],[Date]],"YYYY")&amp;"  Q"&amp;INT(MONTH(SalesData[[#This Row],[Date]]/2)+3)</f>
        <v>2024  Q5</v>
      </c>
    </row>
    <row r="313" spans="1:21"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c r="T313" t="str">
        <f>TEXT(SalesData[[#This Row],[Date]],"MMM-YYY")</f>
        <v>Aug-2023</v>
      </c>
      <c r="U313" t="str">
        <f>TEXT(SalesData[[#This Row],[Date]],"YYYY")&amp;"  Q"&amp;INT(MONTH(SalesData[[#This Row],[Date]]/2)+3)</f>
        <v>2023  Q13</v>
      </c>
    </row>
    <row r="314" spans="1:21"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c r="T314" t="str">
        <f>TEXT(SalesData[[#This Row],[Date]],"MMM-YYY")</f>
        <v>Oct-2024</v>
      </c>
      <c r="U314" t="str">
        <f>TEXT(SalesData[[#This Row],[Date]],"YYYY")&amp;"  Q"&amp;INT(MONTH(SalesData[[#This Row],[Date]]/2)+3)</f>
        <v>2024  Q8</v>
      </c>
    </row>
    <row r="315" spans="1:21"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c r="T315" t="str">
        <f>TEXT(SalesData[[#This Row],[Date]],"MMM-YYY")</f>
        <v>Apr-2023</v>
      </c>
      <c r="U315" t="str">
        <f>TEXT(SalesData[[#This Row],[Date]],"YYYY")&amp;"  Q"&amp;INT(MONTH(SalesData[[#This Row],[Date]]/2)+3)</f>
        <v>2023  Q11</v>
      </c>
    </row>
    <row r="316" spans="1:21"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c r="T316" t="str">
        <f>TEXT(SalesData[[#This Row],[Date]],"MMM-YYY")</f>
        <v>Nov-2023</v>
      </c>
      <c r="U316" t="str">
        <f>TEXT(SalesData[[#This Row],[Date]],"YYYY")&amp;"  Q"&amp;INT(MONTH(SalesData[[#This Row],[Date]]/2)+3)</f>
        <v>2023  Q15</v>
      </c>
    </row>
    <row r="317" spans="1:21"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c r="T317" t="str">
        <f>TEXT(SalesData[[#This Row],[Date]],"MMM-YYY")</f>
        <v>Apr-2023</v>
      </c>
      <c r="U317" t="str">
        <f>TEXT(SalesData[[#This Row],[Date]],"YYYY")&amp;"  Q"&amp;INT(MONTH(SalesData[[#This Row],[Date]]/2)+3)</f>
        <v>2023  Q11</v>
      </c>
    </row>
    <row r="318" spans="1:21"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c r="T318" t="str">
        <f>TEXT(SalesData[[#This Row],[Date]],"MMM-YYY")</f>
        <v>Dec-2023</v>
      </c>
      <c r="U318" t="str">
        <f>TEXT(SalesData[[#This Row],[Date]],"YYYY")&amp;"  Q"&amp;INT(MONTH(SalesData[[#This Row],[Date]]/2)+3)</f>
        <v>2023  Q15</v>
      </c>
    </row>
    <row r="319" spans="1:21"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c r="T319" t="str">
        <f>TEXT(SalesData[[#This Row],[Date]],"MMM-YYY")</f>
        <v>Oct-2024</v>
      </c>
      <c r="U319" t="str">
        <f>TEXT(SalesData[[#This Row],[Date]],"YYYY")&amp;"  Q"&amp;INT(MONTH(SalesData[[#This Row],[Date]]/2)+3)</f>
        <v>2024  Q8</v>
      </c>
    </row>
    <row r="320" spans="1:21"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c r="T320" t="str">
        <f>TEXT(SalesData[[#This Row],[Date]],"MMM-YYY")</f>
        <v>Feb-2023</v>
      </c>
      <c r="U320" t="str">
        <f>TEXT(SalesData[[#This Row],[Date]],"YYYY")&amp;"  Q"&amp;INT(MONTH(SalesData[[#This Row],[Date]]/2)+3)</f>
        <v>2023  Q10</v>
      </c>
    </row>
    <row r="321" spans="1:21"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c r="T321" t="str">
        <f>TEXT(SalesData[[#This Row],[Date]],"MMM-YYY")</f>
        <v>Aug-2024</v>
      </c>
      <c r="U321" t="str">
        <f>TEXT(SalesData[[#This Row],[Date]],"YYYY")&amp;"  Q"&amp;INT(MONTH(SalesData[[#This Row],[Date]]/2)+3)</f>
        <v>2024  Q7</v>
      </c>
    </row>
    <row r="322" spans="1:21"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c r="T322" t="str">
        <f>TEXT(SalesData[[#This Row],[Date]],"MMM-YYY")</f>
        <v>Oct-2024</v>
      </c>
      <c r="U322" t="str">
        <f>TEXT(SalesData[[#This Row],[Date]],"YYYY")&amp;"  Q"&amp;INT(MONTH(SalesData[[#This Row],[Date]]/2)+3)</f>
        <v>2024  Q8</v>
      </c>
    </row>
    <row r="323" spans="1:21"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c r="T323" t="str">
        <f>TEXT(SalesData[[#This Row],[Date]],"MMM-YYY")</f>
        <v>Feb-2024</v>
      </c>
      <c r="U323" t="str">
        <f>TEXT(SalesData[[#This Row],[Date]],"YYYY")&amp;"  Q"&amp;INT(MONTH(SalesData[[#This Row],[Date]]/2)+3)</f>
        <v>2024  Q4</v>
      </c>
    </row>
    <row r="324" spans="1:21"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c r="T324" t="str">
        <f>TEXT(SalesData[[#This Row],[Date]],"MMM-YYY")</f>
        <v>Jun-2024</v>
      </c>
      <c r="U324" t="str">
        <f>TEXT(SalesData[[#This Row],[Date]],"YYYY")&amp;"  Q"&amp;INT(MONTH(SalesData[[#This Row],[Date]]/2)+3)</f>
        <v>2024  Q6</v>
      </c>
    </row>
    <row r="325" spans="1:21"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c r="T325" t="str">
        <f>TEXT(SalesData[[#This Row],[Date]],"MMM-YYY")</f>
        <v>Apr-2023</v>
      </c>
      <c r="U325" t="str">
        <f>TEXT(SalesData[[#This Row],[Date]],"YYYY")&amp;"  Q"&amp;INT(MONTH(SalesData[[#This Row],[Date]]/2)+3)</f>
        <v>2023  Q11</v>
      </c>
    </row>
    <row r="326" spans="1:21"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c r="T326" t="str">
        <f>TEXT(SalesData[[#This Row],[Date]],"MMM-YYY")</f>
        <v>Oct-2024</v>
      </c>
      <c r="U326" t="str">
        <f>TEXT(SalesData[[#This Row],[Date]],"YYYY")&amp;"  Q"&amp;INT(MONTH(SalesData[[#This Row],[Date]]/2)+3)</f>
        <v>2024  Q8</v>
      </c>
    </row>
    <row r="327" spans="1:21"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c r="T327" t="str">
        <f>TEXT(SalesData[[#This Row],[Date]],"MMM-YYY")</f>
        <v>Dec-2023</v>
      </c>
      <c r="U327" t="str">
        <f>TEXT(SalesData[[#This Row],[Date]],"YYYY")&amp;"  Q"&amp;INT(MONTH(SalesData[[#This Row],[Date]]/2)+3)</f>
        <v>2023  Q15</v>
      </c>
    </row>
    <row r="328" spans="1:21"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c r="T328" t="str">
        <f>TEXT(SalesData[[#This Row],[Date]],"MMM-YYY")</f>
        <v>Aug-2023</v>
      </c>
      <c r="U328" t="str">
        <f>TEXT(SalesData[[#This Row],[Date]],"YYYY")&amp;"  Q"&amp;INT(MONTH(SalesData[[#This Row],[Date]]/2)+3)</f>
        <v>2023  Q13</v>
      </c>
    </row>
    <row r="329" spans="1:21"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c r="T329" t="str">
        <f>TEXT(SalesData[[#This Row],[Date]],"MMM-YYY")</f>
        <v>Sep-2023</v>
      </c>
      <c r="U329" t="str">
        <f>TEXT(SalesData[[#This Row],[Date]],"YYYY")&amp;"  Q"&amp;INT(MONTH(SalesData[[#This Row],[Date]]/2)+3)</f>
        <v>2023  Q14</v>
      </c>
    </row>
    <row r="330" spans="1:21"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c r="T330" t="str">
        <f>TEXT(SalesData[[#This Row],[Date]],"MMM-YYY")</f>
        <v>Feb-2023</v>
      </c>
      <c r="U330" t="str">
        <f>TEXT(SalesData[[#This Row],[Date]],"YYYY")&amp;"  Q"&amp;INT(MONTH(SalesData[[#This Row],[Date]]/2)+3)</f>
        <v>2023  Q10</v>
      </c>
    </row>
    <row r="331" spans="1:21"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c r="T331" t="str">
        <f>TEXT(SalesData[[#This Row],[Date]],"MMM-YYY")</f>
        <v>Jan-2024</v>
      </c>
      <c r="U331" t="str">
        <f>TEXT(SalesData[[#This Row],[Date]],"YYYY")&amp;"  Q"&amp;INT(MONTH(SalesData[[#This Row],[Date]]/2)+3)</f>
        <v>2024  Q4</v>
      </c>
    </row>
    <row r="332" spans="1:21"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c r="T332" t="str">
        <f>TEXT(SalesData[[#This Row],[Date]],"MMM-YYY")</f>
        <v>May-2025</v>
      </c>
      <c r="U332" t="str">
        <f>TEXT(SalesData[[#This Row],[Date]],"YYYY")&amp;"  Q"&amp;INT(MONTH(SalesData[[#This Row],[Date]]/2)+3)</f>
        <v>2025  Q12</v>
      </c>
    </row>
    <row r="333" spans="1:21"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c r="T333" t="str">
        <f>TEXT(SalesData[[#This Row],[Date]],"MMM-YYY")</f>
        <v>Sep-2024</v>
      </c>
      <c r="U333" t="str">
        <f>TEXT(SalesData[[#This Row],[Date]],"YYYY")&amp;"  Q"&amp;INT(MONTH(SalesData[[#This Row],[Date]]/2)+3)</f>
        <v>2024  Q8</v>
      </c>
    </row>
    <row r="334" spans="1:21"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c r="T334" t="str">
        <f>TEXT(SalesData[[#This Row],[Date]],"MMM-YYY")</f>
        <v>May-2023</v>
      </c>
      <c r="U334" t="str">
        <f>TEXT(SalesData[[#This Row],[Date]],"YYYY")&amp;"  Q"&amp;INT(MONTH(SalesData[[#This Row],[Date]]/2)+3)</f>
        <v>2023  Q12</v>
      </c>
    </row>
    <row r="335" spans="1:21"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c r="T335" t="str">
        <f>TEXT(SalesData[[#This Row],[Date]],"MMM-YYY")</f>
        <v>Sep-2024</v>
      </c>
      <c r="U335" t="str">
        <f>TEXT(SalesData[[#This Row],[Date]],"YYYY")&amp;"  Q"&amp;INT(MONTH(SalesData[[#This Row],[Date]]/2)+3)</f>
        <v>2024  Q8</v>
      </c>
    </row>
    <row r="336" spans="1:21"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c r="T336" t="str">
        <f>TEXT(SalesData[[#This Row],[Date]],"MMM-YYY")</f>
        <v>Feb-2023</v>
      </c>
      <c r="U336" t="str">
        <f>TEXT(SalesData[[#This Row],[Date]],"YYYY")&amp;"  Q"&amp;INT(MONTH(SalesData[[#This Row],[Date]]/2)+3)</f>
        <v>2023  Q10</v>
      </c>
    </row>
    <row r="337" spans="1:21"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c r="T337" t="str">
        <f>TEXT(SalesData[[#This Row],[Date]],"MMM-YYY")</f>
        <v>Jun-2024</v>
      </c>
      <c r="U337" t="str">
        <f>TEXT(SalesData[[#This Row],[Date]],"YYYY")&amp;"  Q"&amp;INT(MONTH(SalesData[[#This Row],[Date]]/2)+3)</f>
        <v>2024  Q6</v>
      </c>
    </row>
    <row r="338" spans="1:21"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c r="T338" t="str">
        <f>TEXT(SalesData[[#This Row],[Date]],"MMM-YYY")</f>
        <v>Mar-2024</v>
      </c>
      <c r="U338" t="str">
        <f>TEXT(SalesData[[#This Row],[Date]],"YYYY")&amp;"  Q"&amp;INT(MONTH(SalesData[[#This Row],[Date]]/2)+3)</f>
        <v>2024  Q5</v>
      </c>
    </row>
    <row r="339" spans="1:21"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c r="T339" t="str">
        <f>TEXT(SalesData[[#This Row],[Date]],"MMM-YYY")</f>
        <v>Feb-2024</v>
      </c>
      <c r="U339" t="str">
        <f>TEXT(SalesData[[#This Row],[Date]],"YYYY")&amp;"  Q"&amp;INT(MONTH(SalesData[[#This Row],[Date]]/2)+3)</f>
        <v>2024  Q4</v>
      </c>
    </row>
    <row r="340" spans="1:21"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c r="T340" t="str">
        <f>TEXT(SalesData[[#This Row],[Date]],"MMM-YYY")</f>
        <v>Jun-2024</v>
      </c>
      <c r="U340" t="str">
        <f>TEXT(SalesData[[#This Row],[Date]],"YYYY")&amp;"  Q"&amp;INT(MONTH(SalesData[[#This Row],[Date]]/2)+3)</f>
        <v>2024  Q6</v>
      </c>
    </row>
    <row r="341" spans="1:21"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c r="T341" t="str">
        <f>TEXT(SalesData[[#This Row],[Date]],"MMM-YYY")</f>
        <v>May-2024</v>
      </c>
      <c r="U341" t="str">
        <f>TEXT(SalesData[[#This Row],[Date]],"YYYY")&amp;"  Q"&amp;INT(MONTH(SalesData[[#This Row],[Date]]/2)+3)</f>
        <v>2024  Q6</v>
      </c>
    </row>
    <row r="342" spans="1:21"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c r="T342" t="str">
        <f>TEXT(SalesData[[#This Row],[Date]],"MMM-YYY")</f>
        <v>Jun-2024</v>
      </c>
      <c r="U342" t="str">
        <f>TEXT(SalesData[[#This Row],[Date]],"YYYY")&amp;"  Q"&amp;INT(MONTH(SalesData[[#This Row],[Date]]/2)+3)</f>
        <v>2024  Q6</v>
      </c>
    </row>
    <row r="343" spans="1:21"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c r="T343" t="str">
        <f>TEXT(SalesData[[#This Row],[Date]],"MMM-YYY")</f>
        <v>Jan-2024</v>
      </c>
      <c r="U343" t="str">
        <f>TEXT(SalesData[[#This Row],[Date]],"YYYY")&amp;"  Q"&amp;INT(MONTH(SalesData[[#This Row],[Date]]/2)+3)</f>
        <v>2024  Q4</v>
      </c>
    </row>
    <row r="344" spans="1:21"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c r="T344" t="str">
        <f>TEXT(SalesData[[#This Row],[Date]],"MMM-YYY")</f>
        <v>Dec-2024</v>
      </c>
      <c r="U344" t="str">
        <f>TEXT(SalesData[[#This Row],[Date]],"YYYY")&amp;"  Q"&amp;INT(MONTH(SalesData[[#This Row],[Date]]/2)+3)</f>
        <v>2024  Q9</v>
      </c>
    </row>
    <row r="345" spans="1:21"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c r="T345" t="str">
        <f>TEXT(SalesData[[#This Row],[Date]],"MMM-YYY")</f>
        <v>Nov-2023</v>
      </c>
      <c r="U345" t="str">
        <f>TEXT(SalesData[[#This Row],[Date]],"YYYY")&amp;"  Q"&amp;INT(MONTH(SalesData[[#This Row],[Date]]/2)+3)</f>
        <v>2023  Q15</v>
      </c>
    </row>
    <row r="346" spans="1:21"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c r="T346" t="str">
        <f>TEXT(SalesData[[#This Row],[Date]],"MMM-YYY")</f>
        <v>Dec-2024</v>
      </c>
      <c r="U346" t="str">
        <f>TEXT(SalesData[[#This Row],[Date]],"YYYY")&amp;"  Q"&amp;INT(MONTH(SalesData[[#This Row],[Date]]/2)+3)</f>
        <v>2024  Q9</v>
      </c>
    </row>
    <row r="347" spans="1:21"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c r="T347" t="str">
        <f>TEXT(SalesData[[#This Row],[Date]],"MMM-YYY")</f>
        <v>Aug-2023</v>
      </c>
      <c r="U347" t="str">
        <f>TEXT(SalesData[[#This Row],[Date]],"YYYY")&amp;"  Q"&amp;INT(MONTH(SalesData[[#This Row],[Date]]/2)+3)</f>
        <v>2023  Q13</v>
      </c>
    </row>
    <row r="348" spans="1:21"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c r="T348" t="str">
        <f>TEXT(SalesData[[#This Row],[Date]],"MMM-YYY")</f>
        <v>Aug-2023</v>
      </c>
      <c r="U348" t="str">
        <f>TEXT(SalesData[[#This Row],[Date]],"YYYY")&amp;"  Q"&amp;INT(MONTH(SalesData[[#This Row],[Date]]/2)+3)</f>
        <v>2023  Q13</v>
      </c>
    </row>
    <row r="349" spans="1:21"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c r="T349" t="str">
        <f>TEXT(SalesData[[#This Row],[Date]],"MMM-YYY")</f>
        <v>Mar-2025</v>
      </c>
      <c r="U349" t="str">
        <f>TEXT(SalesData[[#This Row],[Date]],"YYYY")&amp;"  Q"&amp;INT(MONTH(SalesData[[#This Row],[Date]]/2)+3)</f>
        <v>2025  Q11</v>
      </c>
    </row>
    <row r="350" spans="1:21"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c r="T350" t="str">
        <f>TEXT(SalesData[[#This Row],[Date]],"MMM-YYY")</f>
        <v>Dec-2024</v>
      </c>
      <c r="U350" t="str">
        <f>TEXT(SalesData[[#This Row],[Date]],"YYYY")&amp;"  Q"&amp;INT(MONTH(SalesData[[#This Row],[Date]]/2)+3)</f>
        <v>2024  Q9</v>
      </c>
    </row>
    <row r="351" spans="1:21"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c r="T351" t="str">
        <f>TEXT(SalesData[[#This Row],[Date]],"MMM-YYY")</f>
        <v>Sep-2023</v>
      </c>
      <c r="U351" t="str">
        <f>TEXT(SalesData[[#This Row],[Date]],"YYYY")&amp;"  Q"&amp;INT(MONTH(SalesData[[#This Row],[Date]]/2)+3)</f>
        <v>2023  Q14</v>
      </c>
    </row>
    <row r="352" spans="1:21"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c r="T352" t="str">
        <f>TEXT(SalesData[[#This Row],[Date]],"MMM-YYY")</f>
        <v>Dec-2023</v>
      </c>
      <c r="U352" t="str">
        <f>TEXT(SalesData[[#This Row],[Date]],"YYYY")&amp;"  Q"&amp;INT(MONTH(SalesData[[#This Row],[Date]]/2)+3)</f>
        <v>2023  Q15</v>
      </c>
    </row>
    <row r="353" spans="1:21"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c r="T353" t="str">
        <f>TEXT(SalesData[[#This Row],[Date]],"MMM-YYY")</f>
        <v>Apr-2024</v>
      </c>
      <c r="U353" t="str">
        <f>TEXT(SalesData[[#This Row],[Date]],"YYYY")&amp;"  Q"&amp;INT(MONTH(SalesData[[#This Row],[Date]]/2)+3)</f>
        <v>2024  Q5</v>
      </c>
    </row>
    <row r="354" spans="1:21"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c r="T354" t="str">
        <f>TEXT(SalesData[[#This Row],[Date]],"MMM-YYY")</f>
        <v>May-2025</v>
      </c>
      <c r="U354" t="str">
        <f>TEXT(SalesData[[#This Row],[Date]],"YYYY")&amp;"  Q"&amp;INT(MONTH(SalesData[[#This Row],[Date]]/2)+3)</f>
        <v>2025  Q12</v>
      </c>
    </row>
    <row r="355" spans="1:21"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c r="T355" t="str">
        <f>TEXT(SalesData[[#This Row],[Date]],"MMM-YYY")</f>
        <v>Sep-2023</v>
      </c>
      <c r="U355" t="str">
        <f>TEXT(SalesData[[#This Row],[Date]],"YYYY")&amp;"  Q"&amp;INT(MONTH(SalesData[[#This Row],[Date]]/2)+3)</f>
        <v>2023  Q14</v>
      </c>
    </row>
    <row r="356" spans="1:21"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c r="T356" t="str">
        <f>TEXT(SalesData[[#This Row],[Date]],"MMM-YYY")</f>
        <v>Oct-2024</v>
      </c>
      <c r="U356" t="str">
        <f>TEXT(SalesData[[#This Row],[Date]],"YYYY")&amp;"  Q"&amp;INT(MONTH(SalesData[[#This Row],[Date]]/2)+3)</f>
        <v>2024  Q8</v>
      </c>
    </row>
    <row r="357" spans="1:21"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c r="T357" t="str">
        <f>TEXT(SalesData[[#This Row],[Date]],"MMM-YYY")</f>
        <v>May-2023</v>
      </c>
      <c r="U357" t="str">
        <f>TEXT(SalesData[[#This Row],[Date]],"YYYY")&amp;"  Q"&amp;INT(MONTH(SalesData[[#This Row],[Date]]/2)+3)</f>
        <v>2023  Q11</v>
      </c>
    </row>
    <row r="358" spans="1:21"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c r="T358" t="str">
        <f>TEXT(SalesData[[#This Row],[Date]],"MMM-YYY")</f>
        <v>Mar-2025</v>
      </c>
      <c r="U358" t="str">
        <f>TEXT(SalesData[[#This Row],[Date]],"YYYY")&amp;"  Q"&amp;INT(MONTH(SalesData[[#This Row],[Date]]/2)+3)</f>
        <v>2025  Q11</v>
      </c>
    </row>
    <row r="359" spans="1:21"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c r="T359" t="str">
        <f>TEXT(SalesData[[#This Row],[Date]],"MMM-YYY")</f>
        <v>Aug-2023</v>
      </c>
      <c r="U359" t="str">
        <f>TEXT(SalesData[[#This Row],[Date]],"YYYY")&amp;"  Q"&amp;INT(MONTH(SalesData[[#This Row],[Date]]/2)+3)</f>
        <v>2023  Q13</v>
      </c>
    </row>
    <row r="360" spans="1:21"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c r="T360" t="str">
        <f>TEXT(SalesData[[#This Row],[Date]],"MMM-YYY")</f>
        <v>Jul-2023</v>
      </c>
      <c r="U360" t="str">
        <f>TEXT(SalesData[[#This Row],[Date]],"YYYY")&amp;"  Q"&amp;INT(MONTH(SalesData[[#This Row],[Date]]/2)+3)</f>
        <v>2023  Q13</v>
      </c>
    </row>
    <row r="361" spans="1:21"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c r="T361" t="str">
        <f>TEXT(SalesData[[#This Row],[Date]],"MMM-YYY")</f>
        <v>Feb-2025</v>
      </c>
      <c r="U361" t="str">
        <f>TEXT(SalesData[[#This Row],[Date]],"YYYY")&amp;"  Q"&amp;INT(MONTH(SalesData[[#This Row],[Date]]/2)+3)</f>
        <v>2025  Q10</v>
      </c>
    </row>
    <row r="362" spans="1:21"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c r="T362" t="str">
        <f>TEXT(SalesData[[#This Row],[Date]],"MMM-YYY")</f>
        <v>Apr-2025</v>
      </c>
      <c r="U362" t="str">
        <f>TEXT(SalesData[[#This Row],[Date]],"YYYY")&amp;"  Q"&amp;INT(MONTH(SalesData[[#This Row],[Date]]/2)+3)</f>
        <v>2025  Q11</v>
      </c>
    </row>
    <row r="363" spans="1:21"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c r="T363" t="str">
        <f>TEXT(SalesData[[#This Row],[Date]],"MMM-YYY")</f>
        <v>Jun-2025</v>
      </c>
      <c r="U363" t="str">
        <f>TEXT(SalesData[[#This Row],[Date]],"YYYY")&amp;"  Q"&amp;INT(MONTH(SalesData[[#This Row],[Date]]/2)+3)</f>
        <v>2025  Q12</v>
      </c>
    </row>
    <row r="364" spans="1:21"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c r="T364" t="str">
        <f>TEXT(SalesData[[#This Row],[Date]],"MMM-YYY")</f>
        <v>Oct-2024</v>
      </c>
      <c r="U364" t="str">
        <f>TEXT(SalesData[[#This Row],[Date]],"YYYY")&amp;"  Q"&amp;INT(MONTH(SalesData[[#This Row],[Date]]/2)+3)</f>
        <v>2024  Q8</v>
      </c>
    </row>
    <row r="365" spans="1:21"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c r="T365" t="str">
        <f>TEXT(SalesData[[#This Row],[Date]],"MMM-YYY")</f>
        <v>Jun-2023</v>
      </c>
      <c r="U365" t="str">
        <f>TEXT(SalesData[[#This Row],[Date]],"YYYY")&amp;"  Q"&amp;INT(MONTH(SalesData[[#This Row],[Date]]/2)+3)</f>
        <v>2023  Q12</v>
      </c>
    </row>
    <row r="366" spans="1:21"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c r="T366" t="str">
        <f>TEXT(SalesData[[#This Row],[Date]],"MMM-YYY")</f>
        <v>Mar-2025</v>
      </c>
      <c r="U366" t="str">
        <f>TEXT(SalesData[[#This Row],[Date]],"YYYY")&amp;"  Q"&amp;INT(MONTH(SalesData[[#This Row],[Date]]/2)+3)</f>
        <v>2025  Q11</v>
      </c>
    </row>
    <row r="367" spans="1:21"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c r="T367" t="str">
        <f>TEXT(SalesData[[#This Row],[Date]],"MMM-YYY")</f>
        <v>Oct-2023</v>
      </c>
      <c r="U367" t="str">
        <f>TEXT(SalesData[[#This Row],[Date]],"YYYY")&amp;"  Q"&amp;INT(MONTH(SalesData[[#This Row],[Date]]/2)+3)</f>
        <v>2023  Q14</v>
      </c>
    </row>
    <row r="368" spans="1:21"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c r="T368" t="str">
        <f>TEXT(SalesData[[#This Row],[Date]],"MMM-YYY")</f>
        <v>Mar-2025</v>
      </c>
      <c r="U368" t="str">
        <f>TEXT(SalesData[[#This Row],[Date]],"YYYY")&amp;"  Q"&amp;INT(MONTH(SalesData[[#This Row],[Date]]/2)+3)</f>
        <v>2025  Q11</v>
      </c>
    </row>
    <row r="369" spans="1:21"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c r="T369" t="str">
        <f>TEXT(SalesData[[#This Row],[Date]],"MMM-YYY")</f>
        <v>Aug-2023</v>
      </c>
      <c r="U369" t="str">
        <f>TEXT(SalesData[[#This Row],[Date]],"YYYY")&amp;"  Q"&amp;INT(MONTH(SalesData[[#This Row],[Date]]/2)+3)</f>
        <v>2023  Q13</v>
      </c>
    </row>
    <row r="370" spans="1:21"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c r="T370" t="str">
        <f>TEXT(SalesData[[#This Row],[Date]],"MMM-YYY")</f>
        <v>Sep-2024</v>
      </c>
      <c r="U370" t="str">
        <f>TEXT(SalesData[[#This Row],[Date]],"YYYY")&amp;"  Q"&amp;INT(MONTH(SalesData[[#This Row],[Date]]/2)+3)</f>
        <v>2024  Q8</v>
      </c>
    </row>
    <row r="371" spans="1:21"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c r="T371" t="str">
        <f>TEXT(SalesData[[#This Row],[Date]],"MMM-YYY")</f>
        <v>Jan-2025</v>
      </c>
      <c r="U371" t="str">
        <f>TEXT(SalesData[[#This Row],[Date]],"YYYY")&amp;"  Q"&amp;INT(MONTH(SalesData[[#This Row],[Date]]/2)+3)</f>
        <v>2025  Q10</v>
      </c>
    </row>
    <row r="372" spans="1:21"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c r="T372" t="str">
        <f>TEXT(SalesData[[#This Row],[Date]],"MMM-YYY")</f>
        <v>Aug-2024</v>
      </c>
      <c r="U372" t="str">
        <f>TEXT(SalesData[[#This Row],[Date]],"YYYY")&amp;"  Q"&amp;INT(MONTH(SalesData[[#This Row],[Date]]/2)+3)</f>
        <v>2024  Q7</v>
      </c>
    </row>
    <row r="373" spans="1:21"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c r="T373" t="str">
        <f>TEXT(SalesData[[#This Row],[Date]],"MMM-YYY")</f>
        <v>Mar-2023</v>
      </c>
      <c r="U373" t="str">
        <f>TEXT(SalesData[[#This Row],[Date]],"YYYY")&amp;"  Q"&amp;INT(MONTH(SalesData[[#This Row],[Date]]/2)+3)</f>
        <v>2023  Q11</v>
      </c>
    </row>
    <row r="374" spans="1:21"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c r="T374" t="str">
        <f>TEXT(SalesData[[#This Row],[Date]],"MMM-YYY")</f>
        <v>Feb-2023</v>
      </c>
      <c r="U374" t="str">
        <f>TEXT(SalesData[[#This Row],[Date]],"YYYY")&amp;"  Q"&amp;INT(MONTH(SalesData[[#This Row],[Date]]/2)+3)</f>
        <v>2023  Q10</v>
      </c>
    </row>
    <row r="375" spans="1:21"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c r="T375" t="str">
        <f>TEXT(SalesData[[#This Row],[Date]],"MMM-YYY")</f>
        <v>Apr-2025</v>
      </c>
      <c r="U375" t="str">
        <f>TEXT(SalesData[[#This Row],[Date]],"YYYY")&amp;"  Q"&amp;INT(MONTH(SalesData[[#This Row],[Date]]/2)+3)</f>
        <v>2025  Q11</v>
      </c>
    </row>
    <row r="376" spans="1:21"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c r="T376" t="str">
        <f>TEXT(SalesData[[#This Row],[Date]],"MMM-YYY")</f>
        <v>Mar-2025</v>
      </c>
      <c r="U376" t="str">
        <f>TEXT(SalesData[[#This Row],[Date]],"YYYY")&amp;"  Q"&amp;INT(MONTH(SalesData[[#This Row],[Date]]/2)+3)</f>
        <v>2025  Q11</v>
      </c>
    </row>
    <row r="377" spans="1:21"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c r="T377" t="str">
        <f>TEXT(SalesData[[#This Row],[Date]],"MMM-YYY")</f>
        <v>Apr-2024</v>
      </c>
      <c r="U377" t="str">
        <f>TEXT(SalesData[[#This Row],[Date]],"YYYY")&amp;"  Q"&amp;INT(MONTH(SalesData[[#This Row],[Date]]/2)+3)</f>
        <v>2024  Q5</v>
      </c>
    </row>
    <row r="378" spans="1:21"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c r="T378" t="str">
        <f>TEXT(SalesData[[#This Row],[Date]],"MMM-YYY")</f>
        <v>Sep-2024</v>
      </c>
      <c r="U378" t="str">
        <f>TEXT(SalesData[[#This Row],[Date]],"YYYY")&amp;"  Q"&amp;INT(MONTH(SalesData[[#This Row],[Date]]/2)+3)</f>
        <v>2024  Q8</v>
      </c>
    </row>
    <row r="379" spans="1:21"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c r="T379" t="str">
        <f>TEXT(SalesData[[#This Row],[Date]],"MMM-YYY")</f>
        <v>Aug-2023</v>
      </c>
      <c r="U379" t="str">
        <f>TEXT(SalesData[[#This Row],[Date]],"YYYY")&amp;"  Q"&amp;INT(MONTH(SalesData[[#This Row],[Date]]/2)+3)</f>
        <v>2023  Q13</v>
      </c>
    </row>
    <row r="380" spans="1:21"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c r="T380" t="str">
        <f>TEXT(SalesData[[#This Row],[Date]],"MMM-YYY")</f>
        <v>Jun-2024</v>
      </c>
      <c r="U380" t="str">
        <f>TEXT(SalesData[[#This Row],[Date]],"YYYY")&amp;"  Q"&amp;INT(MONTH(SalesData[[#This Row],[Date]]/2)+3)</f>
        <v>2024  Q6</v>
      </c>
    </row>
    <row r="381" spans="1:21"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c r="T381" t="str">
        <f>TEXT(SalesData[[#This Row],[Date]],"MMM-YYY")</f>
        <v>May-2025</v>
      </c>
      <c r="U381" t="str">
        <f>TEXT(SalesData[[#This Row],[Date]],"YYYY")&amp;"  Q"&amp;INT(MONTH(SalesData[[#This Row],[Date]]/2)+3)</f>
        <v>2025  Q12</v>
      </c>
    </row>
    <row r="382" spans="1:21"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c r="T382" t="str">
        <f>TEXT(SalesData[[#This Row],[Date]],"MMM-YYY")</f>
        <v>Jul-2024</v>
      </c>
      <c r="U382" t="str">
        <f>TEXT(SalesData[[#This Row],[Date]],"YYYY")&amp;"  Q"&amp;INT(MONTH(SalesData[[#This Row],[Date]]/2)+3)</f>
        <v>2024  Q7</v>
      </c>
    </row>
    <row r="383" spans="1:21"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c r="T383" t="str">
        <f>TEXT(SalesData[[#This Row],[Date]],"MMM-YYY")</f>
        <v>Jul-2024</v>
      </c>
      <c r="U383" t="str">
        <f>TEXT(SalesData[[#This Row],[Date]],"YYYY")&amp;"  Q"&amp;INT(MONTH(SalesData[[#This Row],[Date]]/2)+3)</f>
        <v>2024  Q7</v>
      </c>
    </row>
    <row r="384" spans="1:21"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c r="T384" t="str">
        <f>TEXT(SalesData[[#This Row],[Date]],"MMM-YYY")</f>
        <v>Apr-2023</v>
      </c>
      <c r="U384" t="str">
        <f>TEXT(SalesData[[#This Row],[Date]],"YYYY")&amp;"  Q"&amp;INT(MONTH(SalesData[[#This Row],[Date]]/2)+3)</f>
        <v>2023  Q11</v>
      </c>
    </row>
    <row r="385" spans="1:21"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c r="T385" t="str">
        <f>TEXT(SalesData[[#This Row],[Date]],"MMM-YYY")</f>
        <v>Jun-2023</v>
      </c>
      <c r="U385" t="str">
        <f>TEXT(SalesData[[#This Row],[Date]],"YYYY")&amp;"  Q"&amp;INT(MONTH(SalesData[[#This Row],[Date]]/2)+3)</f>
        <v>2023  Q12</v>
      </c>
    </row>
    <row r="386" spans="1:21"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c r="T386" t="str">
        <f>TEXT(SalesData[[#This Row],[Date]],"MMM-YYY")</f>
        <v>Apr-2025</v>
      </c>
      <c r="U386" t="str">
        <f>TEXT(SalesData[[#This Row],[Date]],"YYYY")&amp;"  Q"&amp;INT(MONTH(SalesData[[#This Row],[Date]]/2)+3)</f>
        <v>2025  Q11</v>
      </c>
    </row>
    <row r="387" spans="1:21"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c r="T387" t="str">
        <f>TEXT(SalesData[[#This Row],[Date]],"MMM-YYY")</f>
        <v>Mar-2025</v>
      </c>
      <c r="U387" t="str">
        <f>TEXT(SalesData[[#This Row],[Date]],"YYYY")&amp;"  Q"&amp;INT(MONTH(SalesData[[#This Row],[Date]]/2)+3)</f>
        <v>2025  Q11</v>
      </c>
    </row>
    <row r="388" spans="1:21"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c r="T388" t="str">
        <f>TEXT(SalesData[[#This Row],[Date]],"MMM-YYY")</f>
        <v>Jul-2024</v>
      </c>
      <c r="U388" t="str">
        <f>TEXT(SalesData[[#This Row],[Date]],"YYYY")&amp;"  Q"&amp;INT(MONTH(SalesData[[#This Row],[Date]]/2)+3)</f>
        <v>2024  Q7</v>
      </c>
    </row>
    <row r="389" spans="1:21"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c r="T389" t="str">
        <f>TEXT(SalesData[[#This Row],[Date]],"MMM-YYY")</f>
        <v>Aug-2024</v>
      </c>
      <c r="U389" t="str">
        <f>TEXT(SalesData[[#This Row],[Date]],"YYYY")&amp;"  Q"&amp;INT(MONTH(SalesData[[#This Row],[Date]]/2)+3)</f>
        <v>2024  Q8</v>
      </c>
    </row>
    <row r="390" spans="1:21"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c r="T390" t="str">
        <f>TEXT(SalesData[[#This Row],[Date]],"MMM-YYY")</f>
        <v>Jan-2025</v>
      </c>
      <c r="U390" t="str">
        <f>TEXT(SalesData[[#This Row],[Date]],"YYYY")&amp;"  Q"&amp;INT(MONTH(SalesData[[#This Row],[Date]]/2)+3)</f>
        <v>2025  Q10</v>
      </c>
    </row>
    <row r="391" spans="1:21"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c r="T391" t="str">
        <f>TEXT(SalesData[[#This Row],[Date]],"MMM-YYY")</f>
        <v>Feb-2025</v>
      </c>
      <c r="U391" t="str">
        <f>TEXT(SalesData[[#This Row],[Date]],"YYYY")&amp;"  Q"&amp;INT(MONTH(SalesData[[#This Row],[Date]]/2)+3)</f>
        <v>2025  Q10</v>
      </c>
    </row>
    <row r="392" spans="1:21"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c r="T392" t="str">
        <f>TEXT(SalesData[[#This Row],[Date]],"MMM-YYY")</f>
        <v>Apr-2024</v>
      </c>
      <c r="U392" t="str">
        <f>TEXT(SalesData[[#This Row],[Date]],"YYYY")&amp;"  Q"&amp;INT(MONTH(SalesData[[#This Row],[Date]]/2)+3)</f>
        <v>2024  Q5</v>
      </c>
    </row>
    <row r="393" spans="1:21"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c r="T393" t="str">
        <f>TEXT(SalesData[[#This Row],[Date]],"MMM-YYY")</f>
        <v>Mar-2025</v>
      </c>
      <c r="U393" t="str">
        <f>TEXT(SalesData[[#This Row],[Date]],"YYYY")&amp;"  Q"&amp;INT(MONTH(SalesData[[#This Row],[Date]]/2)+3)</f>
        <v>2025  Q10</v>
      </c>
    </row>
    <row r="394" spans="1:21"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c r="T394" t="str">
        <f>TEXT(SalesData[[#This Row],[Date]],"MMM-YYY")</f>
        <v>Jul-2023</v>
      </c>
      <c r="U394" t="str">
        <f>TEXT(SalesData[[#This Row],[Date]],"YYYY")&amp;"  Q"&amp;INT(MONTH(SalesData[[#This Row],[Date]]/2)+3)</f>
        <v>2023  Q13</v>
      </c>
    </row>
    <row r="395" spans="1:21"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c r="T395" t="str">
        <f>TEXT(SalesData[[#This Row],[Date]],"MMM-YYY")</f>
        <v>Apr-2023</v>
      </c>
      <c r="U395" t="str">
        <f>TEXT(SalesData[[#This Row],[Date]],"YYYY")&amp;"  Q"&amp;INT(MONTH(SalesData[[#This Row],[Date]]/2)+3)</f>
        <v>2023  Q11</v>
      </c>
    </row>
    <row r="396" spans="1:21"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c r="T396" t="str">
        <f>TEXT(SalesData[[#This Row],[Date]],"MMM-YYY")</f>
        <v>Apr-2025</v>
      </c>
      <c r="U396" t="str">
        <f>TEXT(SalesData[[#This Row],[Date]],"YYYY")&amp;"  Q"&amp;INT(MONTH(SalesData[[#This Row],[Date]]/2)+3)</f>
        <v>2025  Q11</v>
      </c>
    </row>
    <row r="397" spans="1:21"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c r="T397" t="str">
        <f>TEXT(SalesData[[#This Row],[Date]],"MMM-YYY")</f>
        <v>Nov-2023</v>
      </c>
      <c r="U397" t="str">
        <f>TEXT(SalesData[[#This Row],[Date]],"YYYY")&amp;"  Q"&amp;INT(MONTH(SalesData[[#This Row],[Date]]/2)+3)</f>
        <v>2023  Q15</v>
      </c>
    </row>
    <row r="398" spans="1:21"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c r="T398" t="str">
        <f>TEXT(SalesData[[#This Row],[Date]],"MMM-YYY")</f>
        <v>Jan-2023</v>
      </c>
      <c r="U398" t="str">
        <f>TEXT(SalesData[[#This Row],[Date]],"YYYY")&amp;"  Q"&amp;INT(MONTH(SalesData[[#This Row],[Date]]/2)+3)</f>
        <v>2023  Q10</v>
      </c>
    </row>
    <row r="399" spans="1:21"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c r="T399" t="str">
        <f>TEXT(SalesData[[#This Row],[Date]],"MMM-YYY")</f>
        <v>Feb-2025</v>
      </c>
      <c r="U399" t="str">
        <f>TEXT(SalesData[[#This Row],[Date]],"YYYY")&amp;"  Q"&amp;INT(MONTH(SalesData[[#This Row],[Date]]/2)+3)</f>
        <v>2025  Q10</v>
      </c>
    </row>
    <row r="400" spans="1:21"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c r="T400" t="str">
        <f>TEXT(SalesData[[#This Row],[Date]],"MMM-YYY")</f>
        <v>May-2023</v>
      </c>
      <c r="U400" t="str">
        <f>TEXT(SalesData[[#This Row],[Date]],"YYYY")&amp;"  Q"&amp;INT(MONTH(SalesData[[#This Row],[Date]]/2)+3)</f>
        <v>2023  Q12</v>
      </c>
    </row>
    <row r="401" spans="1:21"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c r="T401" t="str">
        <f>TEXT(SalesData[[#This Row],[Date]],"MMM-YYY")</f>
        <v>Jun-2025</v>
      </c>
      <c r="U401" t="str">
        <f>TEXT(SalesData[[#This Row],[Date]],"YYYY")&amp;"  Q"&amp;INT(MONTH(SalesData[[#This Row],[Date]]/2)+3)</f>
        <v>2025  Q12</v>
      </c>
    </row>
    <row r="402" spans="1:21"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c r="T402" t="str">
        <f>TEXT(SalesData[[#This Row],[Date]],"MMM-YYY")</f>
        <v>Feb-2023</v>
      </c>
      <c r="U402" t="str">
        <f>TEXT(SalesData[[#This Row],[Date]],"YYYY")&amp;"  Q"&amp;INT(MONTH(SalesData[[#This Row],[Date]]/2)+3)</f>
        <v>2023  Q10</v>
      </c>
    </row>
    <row r="403" spans="1:21"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c r="T403" t="str">
        <f>TEXT(SalesData[[#This Row],[Date]],"MMM-YYY")</f>
        <v>Nov-2024</v>
      </c>
      <c r="U403" t="str">
        <f>TEXT(SalesData[[#This Row],[Date]],"YYYY")&amp;"  Q"&amp;INT(MONTH(SalesData[[#This Row],[Date]]/2)+3)</f>
        <v>2024  Q9</v>
      </c>
    </row>
    <row r="404" spans="1:21"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c r="T404" t="str">
        <f>TEXT(SalesData[[#This Row],[Date]],"MMM-YYY")</f>
        <v>Jul-2024</v>
      </c>
      <c r="U404" t="str">
        <f>TEXT(SalesData[[#This Row],[Date]],"YYYY")&amp;"  Q"&amp;INT(MONTH(SalesData[[#This Row],[Date]]/2)+3)</f>
        <v>2024  Q7</v>
      </c>
    </row>
    <row r="405" spans="1:21"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c r="T405" t="str">
        <f>TEXT(SalesData[[#This Row],[Date]],"MMM-YYY")</f>
        <v>Aug-2023</v>
      </c>
      <c r="U405" t="str">
        <f>TEXT(SalesData[[#This Row],[Date]],"YYYY")&amp;"  Q"&amp;INT(MONTH(SalesData[[#This Row],[Date]]/2)+3)</f>
        <v>2023  Q13</v>
      </c>
    </row>
    <row r="406" spans="1:21"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c r="T406" t="str">
        <f>TEXT(SalesData[[#This Row],[Date]],"MMM-YYY")</f>
        <v>Nov-2023</v>
      </c>
      <c r="U406" t="str">
        <f>TEXT(SalesData[[#This Row],[Date]],"YYYY")&amp;"  Q"&amp;INT(MONTH(SalesData[[#This Row],[Date]]/2)+3)</f>
        <v>2023  Q15</v>
      </c>
    </row>
    <row r="407" spans="1:21"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c r="T407" t="str">
        <f>TEXT(SalesData[[#This Row],[Date]],"MMM-YYY")</f>
        <v>Sep-2024</v>
      </c>
      <c r="U407" t="str">
        <f>TEXT(SalesData[[#This Row],[Date]],"YYYY")&amp;"  Q"&amp;INT(MONTH(SalesData[[#This Row],[Date]]/2)+3)</f>
        <v>2024  Q8</v>
      </c>
    </row>
    <row r="408" spans="1:21"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c r="T408" t="str">
        <f>TEXT(SalesData[[#This Row],[Date]],"MMM-YYY")</f>
        <v>Aug-2024</v>
      </c>
      <c r="U408" t="str">
        <f>TEXT(SalesData[[#This Row],[Date]],"YYYY")&amp;"  Q"&amp;INT(MONTH(SalesData[[#This Row],[Date]]/2)+3)</f>
        <v>2024  Q8</v>
      </c>
    </row>
    <row r="409" spans="1:21"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c r="T409" t="str">
        <f>TEXT(SalesData[[#This Row],[Date]],"MMM-YYY")</f>
        <v>Nov-2024</v>
      </c>
      <c r="U409" t="str">
        <f>TEXT(SalesData[[#This Row],[Date]],"YYYY")&amp;"  Q"&amp;INT(MONTH(SalesData[[#This Row],[Date]]/2)+3)</f>
        <v>2024  Q9</v>
      </c>
    </row>
    <row r="410" spans="1:21"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c r="T410" t="str">
        <f>TEXT(SalesData[[#This Row],[Date]],"MMM-YYY")</f>
        <v>Apr-2023</v>
      </c>
      <c r="U410" t="str">
        <f>TEXT(SalesData[[#This Row],[Date]],"YYYY")&amp;"  Q"&amp;INT(MONTH(SalesData[[#This Row],[Date]]/2)+3)</f>
        <v>2023  Q11</v>
      </c>
    </row>
    <row r="411" spans="1:21"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c r="T411" t="str">
        <f>TEXT(SalesData[[#This Row],[Date]],"MMM-YYY")</f>
        <v>Nov-2023</v>
      </c>
      <c r="U411" t="str">
        <f>TEXT(SalesData[[#This Row],[Date]],"YYYY")&amp;"  Q"&amp;INT(MONTH(SalesData[[#This Row],[Date]]/2)+3)</f>
        <v>2023  Q15</v>
      </c>
    </row>
    <row r="412" spans="1:21"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c r="T412" t="str">
        <f>TEXT(SalesData[[#This Row],[Date]],"MMM-YYY")</f>
        <v>Apr-2025</v>
      </c>
      <c r="U412" t="str">
        <f>TEXT(SalesData[[#This Row],[Date]],"YYYY")&amp;"  Q"&amp;INT(MONTH(SalesData[[#This Row],[Date]]/2)+3)</f>
        <v>2025  Q11</v>
      </c>
    </row>
    <row r="413" spans="1:21"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c r="T413" t="str">
        <f>TEXT(SalesData[[#This Row],[Date]],"MMM-YYY")</f>
        <v>Mar-2023</v>
      </c>
      <c r="U413" t="str">
        <f>TEXT(SalesData[[#This Row],[Date]],"YYYY")&amp;"  Q"&amp;INT(MONTH(SalesData[[#This Row],[Date]]/2)+3)</f>
        <v>2023  Q11</v>
      </c>
    </row>
    <row r="414" spans="1:21"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c r="T414" t="str">
        <f>TEXT(SalesData[[#This Row],[Date]],"MMM-YYY")</f>
        <v>Nov-2024</v>
      </c>
      <c r="U414" t="str">
        <f>TEXT(SalesData[[#This Row],[Date]],"YYYY")&amp;"  Q"&amp;INT(MONTH(SalesData[[#This Row],[Date]]/2)+3)</f>
        <v>2024  Q9</v>
      </c>
    </row>
    <row r="415" spans="1:21"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c r="T415" t="str">
        <f>TEXT(SalesData[[#This Row],[Date]],"MMM-YYY")</f>
        <v>May-2024</v>
      </c>
      <c r="U415" t="str">
        <f>TEXT(SalesData[[#This Row],[Date]],"YYYY")&amp;"  Q"&amp;INT(MONTH(SalesData[[#This Row],[Date]]/2)+3)</f>
        <v>2024  Q6</v>
      </c>
    </row>
    <row r="416" spans="1:21"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c r="T416" t="str">
        <f>TEXT(SalesData[[#This Row],[Date]],"MMM-YYY")</f>
        <v>Apr-2023</v>
      </c>
      <c r="U416" t="str">
        <f>TEXT(SalesData[[#This Row],[Date]],"YYYY")&amp;"  Q"&amp;INT(MONTH(SalesData[[#This Row],[Date]]/2)+3)</f>
        <v>2023  Q11</v>
      </c>
    </row>
    <row r="417" spans="1:21"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c r="T417" t="str">
        <f>TEXT(SalesData[[#This Row],[Date]],"MMM-YYY")</f>
        <v>Mar-2023</v>
      </c>
      <c r="U417" t="str">
        <f>TEXT(SalesData[[#This Row],[Date]],"YYYY")&amp;"  Q"&amp;INT(MONTH(SalesData[[#This Row],[Date]]/2)+3)</f>
        <v>2023  Q11</v>
      </c>
    </row>
    <row r="418" spans="1:21"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c r="T418" t="str">
        <f>TEXT(SalesData[[#This Row],[Date]],"MMM-YYY")</f>
        <v>Jan-2024</v>
      </c>
      <c r="U418" t="str">
        <f>TEXT(SalesData[[#This Row],[Date]],"YYYY")&amp;"  Q"&amp;INT(MONTH(SalesData[[#This Row],[Date]]/2)+3)</f>
        <v>2024  Q4</v>
      </c>
    </row>
    <row r="419" spans="1:21"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c r="T419" t="str">
        <f>TEXT(SalesData[[#This Row],[Date]],"MMM-YYY")</f>
        <v>Oct-2024</v>
      </c>
      <c r="U419" t="str">
        <f>TEXT(SalesData[[#This Row],[Date]],"YYYY")&amp;"  Q"&amp;INT(MONTH(SalesData[[#This Row],[Date]]/2)+3)</f>
        <v>2024  Q9</v>
      </c>
    </row>
    <row r="420" spans="1:21"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c r="T420" t="str">
        <f>TEXT(SalesData[[#This Row],[Date]],"MMM-YYY")</f>
        <v>May-2024</v>
      </c>
      <c r="U420" t="str">
        <f>TEXT(SalesData[[#This Row],[Date]],"YYYY")&amp;"  Q"&amp;INT(MONTH(SalesData[[#This Row],[Date]]/2)+3)</f>
        <v>2024  Q6</v>
      </c>
    </row>
    <row r="421" spans="1:21"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c r="T421" t="str">
        <f>TEXT(SalesData[[#This Row],[Date]],"MMM-YYY")</f>
        <v>Mar-2024</v>
      </c>
      <c r="U421" t="str">
        <f>TEXT(SalesData[[#This Row],[Date]],"YYYY")&amp;"  Q"&amp;INT(MONTH(SalesData[[#This Row],[Date]]/2)+3)</f>
        <v>2024  Q5</v>
      </c>
    </row>
    <row r="422" spans="1:21"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c r="T422" t="str">
        <f>TEXT(SalesData[[#This Row],[Date]],"MMM-YYY")</f>
        <v>Jul-2023</v>
      </c>
      <c r="U422" t="str">
        <f>TEXT(SalesData[[#This Row],[Date]],"YYYY")&amp;"  Q"&amp;INT(MONTH(SalesData[[#This Row],[Date]]/2)+3)</f>
        <v>2023  Q13</v>
      </c>
    </row>
    <row r="423" spans="1:21"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c r="T423" t="str">
        <f>TEXT(SalesData[[#This Row],[Date]],"MMM-YYY")</f>
        <v>Aug-2023</v>
      </c>
      <c r="U423" t="str">
        <f>TEXT(SalesData[[#This Row],[Date]],"YYYY")&amp;"  Q"&amp;INT(MONTH(SalesData[[#This Row],[Date]]/2)+3)</f>
        <v>2023  Q13</v>
      </c>
    </row>
    <row r="424" spans="1:21"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c r="T424" t="str">
        <f>TEXT(SalesData[[#This Row],[Date]],"MMM-YYY")</f>
        <v>Sep-2023</v>
      </c>
      <c r="U424" t="str">
        <f>TEXT(SalesData[[#This Row],[Date]],"YYYY")&amp;"  Q"&amp;INT(MONTH(SalesData[[#This Row],[Date]]/2)+3)</f>
        <v>2023  Q14</v>
      </c>
    </row>
    <row r="425" spans="1:21"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c r="T425" t="str">
        <f>TEXT(SalesData[[#This Row],[Date]],"MMM-YYY")</f>
        <v>Mar-2023</v>
      </c>
      <c r="U425" t="str">
        <f>TEXT(SalesData[[#This Row],[Date]],"YYYY")&amp;"  Q"&amp;INT(MONTH(SalesData[[#This Row],[Date]]/2)+3)</f>
        <v>2023  Q11</v>
      </c>
    </row>
    <row r="426" spans="1:21"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c r="T426" t="str">
        <f>TEXT(SalesData[[#This Row],[Date]],"MMM-YYY")</f>
        <v>Mar-2023</v>
      </c>
      <c r="U426" t="str">
        <f>TEXT(SalesData[[#This Row],[Date]],"YYYY")&amp;"  Q"&amp;INT(MONTH(SalesData[[#This Row],[Date]]/2)+3)</f>
        <v>2023  Q11</v>
      </c>
    </row>
    <row r="427" spans="1:21"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c r="T427" t="str">
        <f>TEXT(SalesData[[#This Row],[Date]],"MMM-YYY")</f>
        <v>May-2024</v>
      </c>
      <c r="U427" t="str">
        <f>TEXT(SalesData[[#This Row],[Date]],"YYYY")&amp;"  Q"&amp;INT(MONTH(SalesData[[#This Row],[Date]]/2)+3)</f>
        <v>2024  Q6</v>
      </c>
    </row>
    <row r="428" spans="1:21"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c r="T428" t="str">
        <f>TEXT(SalesData[[#This Row],[Date]],"MMM-YYY")</f>
        <v>Sep-2023</v>
      </c>
      <c r="U428" t="str">
        <f>TEXT(SalesData[[#This Row],[Date]],"YYYY")&amp;"  Q"&amp;INT(MONTH(SalesData[[#This Row],[Date]]/2)+3)</f>
        <v>2023  Q14</v>
      </c>
    </row>
    <row r="429" spans="1:21"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c r="T429" t="str">
        <f>TEXT(SalesData[[#This Row],[Date]],"MMM-YYY")</f>
        <v>Jun-2023</v>
      </c>
      <c r="U429" t="str">
        <f>TEXT(SalesData[[#This Row],[Date]],"YYYY")&amp;"  Q"&amp;INT(MONTH(SalesData[[#This Row],[Date]]/2)+3)</f>
        <v>2023  Q12</v>
      </c>
    </row>
    <row r="430" spans="1:21"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c r="T430" t="str">
        <f>TEXT(SalesData[[#This Row],[Date]],"MMM-YYY")</f>
        <v>Nov-2023</v>
      </c>
      <c r="U430" t="str">
        <f>TEXT(SalesData[[#This Row],[Date]],"YYYY")&amp;"  Q"&amp;INT(MONTH(SalesData[[#This Row],[Date]]/2)+3)</f>
        <v>2023  Q15</v>
      </c>
    </row>
    <row r="431" spans="1:21"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c r="T431" t="str">
        <f>TEXT(SalesData[[#This Row],[Date]],"MMM-YYY")</f>
        <v>Nov-2024</v>
      </c>
      <c r="U431" t="str">
        <f>TEXT(SalesData[[#This Row],[Date]],"YYYY")&amp;"  Q"&amp;INT(MONTH(SalesData[[#This Row],[Date]]/2)+3)</f>
        <v>2024  Q9</v>
      </c>
    </row>
    <row r="432" spans="1:21"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c r="T432" t="str">
        <f>TEXT(SalesData[[#This Row],[Date]],"MMM-YYY")</f>
        <v>Feb-2024</v>
      </c>
      <c r="U432" t="str">
        <f>TEXT(SalesData[[#This Row],[Date]],"YYYY")&amp;"  Q"&amp;INT(MONTH(SalesData[[#This Row],[Date]]/2)+3)</f>
        <v>2024  Q4</v>
      </c>
    </row>
    <row r="433" spans="1:21"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c r="T433" t="str">
        <f>TEXT(SalesData[[#This Row],[Date]],"MMM-YYY")</f>
        <v>Nov-2023</v>
      </c>
      <c r="U433" t="str">
        <f>TEXT(SalesData[[#This Row],[Date]],"YYYY")&amp;"  Q"&amp;INT(MONTH(SalesData[[#This Row],[Date]]/2)+3)</f>
        <v>2023  Q15</v>
      </c>
    </row>
    <row r="434" spans="1:21"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c r="T434" t="str">
        <f>TEXT(SalesData[[#This Row],[Date]],"MMM-YYY")</f>
        <v>Jan-2025</v>
      </c>
      <c r="U434" t="str">
        <f>TEXT(SalesData[[#This Row],[Date]],"YYYY")&amp;"  Q"&amp;INT(MONTH(SalesData[[#This Row],[Date]]/2)+3)</f>
        <v>2025  Q10</v>
      </c>
    </row>
    <row r="435" spans="1:21"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c r="T435" t="str">
        <f>TEXT(SalesData[[#This Row],[Date]],"MMM-YYY")</f>
        <v>May-2025</v>
      </c>
      <c r="U435" t="str">
        <f>TEXT(SalesData[[#This Row],[Date]],"YYYY")&amp;"  Q"&amp;INT(MONTH(SalesData[[#This Row],[Date]]/2)+3)</f>
        <v>2025  Q12</v>
      </c>
    </row>
    <row r="436" spans="1:21"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c r="T436" t="str">
        <f>TEXT(SalesData[[#This Row],[Date]],"MMM-YYY")</f>
        <v>May-2025</v>
      </c>
      <c r="U436" t="str">
        <f>TEXT(SalesData[[#This Row],[Date]],"YYYY")&amp;"  Q"&amp;INT(MONTH(SalesData[[#This Row],[Date]]/2)+3)</f>
        <v>2025  Q12</v>
      </c>
    </row>
    <row r="437" spans="1:21"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c r="T437" t="str">
        <f>TEXT(SalesData[[#This Row],[Date]],"MMM-YYY")</f>
        <v>Nov-2023</v>
      </c>
      <c r="U437" t="str">
        <f>TEXT(SalesData[[#This Row],[Date]],"YYYY")&amp;"  Q"&amp;INT(MONTH(SalesData[[#This Row],[Date]]/2)+3)</f>
        <v>2023  Q15</v>
      </c>
    </row>
    <row r="438" spans="1:21"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c r="T438" t="str">
        <f>TEXT(SalesData[[#This Row],[Date]],"MMM-YYY")</f>
        <v>Feb-2023</v>
      </c>
      <c r="U438" t="str">
        <f>TEXT(SalesData[[#This Row],[Date]],"YYYY")&amp;"  Q"&amp;INT(MONTH(SalesData[[#This Row],[Date]]/2)+3)</f>
        <v>2023  Q10</v>
      </c>
    </row>
    <row r="439" spans="1:21"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c r="T439" t="str">
        <f>TEXT(SalesData[[#This Row],[Date]],"MMM-YYY")</f>
        <v>Nov-2023</v>
      </c>
      <c r="U439" t="str">
        <f>TEXT(SalesData[[#This Row],[Date]],"YYYY")&amp;"  Q"&amp;INT(MONTH(SalesData[[#This Row],[Date]]/2)+3)</f>
        <v>2023  Q15</v>
      </c>
    </row>
    <row r="440" spans="1:21"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c r="T440" t="str">
        <f>TEXT(SalesData[[#This Row],[Date]],"MMM-YYY")</f>
        <v>Jun-2024</v>
      </c>
      <c r="U440" t="str">
        <f>TEXT(SalesData[[#This Row],[Date]],"YYYY")&amp;"  Q"&amp;INT(MONTH(SalesData[[#This Row],[Date]]/2)+3)</f>
        <v>2024  Q6</v>
      </c>
    </row>
    <row r="441" spans="1:21"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c r="T441" t="str">
        <f>TEXT(SalesData[[#This Row],[Date]],"MMM-YYY")</f>
        <v>Oct-2024</v>
      </c>
      <c r="U441" t="str">
        <f>TEXT(SalesData[[#This Row],[Date]],"YYYY")&amp;"  Q"&amp;INT(MONTH(SalesData[[#This Row],[Date]]/2)+3)</f>
        <v>2024  Q8</v>
      </c>
    </row>
    <row r="442" spans="1:21"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c r="T442" t="str">
        <f>TEXT(SalesData[[#This Row],[Date]],"MMM-YYY")</f>
        <v>Jun-2023</v>
      </c>
      <c r="U442" t="str">
        <f>TEXT(SalesData[[#This Row],[Date]],"YYYY")&amp;"  Q"&amp;INT(MONTH(SalesData[[#This Row],[Date]]/2)+3)</f>
        <v>2023  Q12</v>
      </c>
    </row>
    <row r="443" spans="1:21"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c r="T443" t="str">
        <f>TEXT(SalesData[[#This Row],[Date]],"MMM-YYY")</f>
        <v>Sep-2023</v>
      </c>
      <c r="U443" t="str">
        <f>TEXT(SalesData[[#This Row],[Date]],"YYYY")&amp;"  Q"&amp;INT(MONTH(SalesData[[#This Row],[Date]]/2)+3)</f>
        <v>2023  Q14</v>
      </c>
    </row>
    <row r="444" spans="1:21"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c r="T444" t="str">
        <f>TEXT(SalesData[[#This Row],[Date]],"MMM-YYY")</f>
        <v>May-2025</v>
      </c>
      <c r="U444" t="str">
        <f>TEXT(SalesData[[#This Row],[Date]],"YYYY")&amp;"  Q"&amp;INT(MONTH(SalesData[[#This Row],[Date]]/2)+3)</f>
        <v>2025  Q12</v>
      </c>
    </row>
    <row r="445" spans="1:21"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c r="T445" t="str">
        <f>TEXT(SalesData[[#This Row],[Date]],"MMM-YYY")</f>
        <v>Sep-2023</v>
      </c>
      <c r="U445" t="str">
        <f>TEXT(SalesData[[#This Row],[Date]],"YYYY")&amp;"  Q"&amp;INT(MONTH(SalesData[[#This Row],[Date]]/2)+3)</f>
        <v>2023  Q14</v>
      </c>
    </row>
    <row r="446" spans="1:21"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c r="T446" t="str">
        <f>TEXT(SalesData[[#This Row],[Date]],"MMM-YYY")</f>
        <v>Mar-2025</v>
      </c>
      <c r="U446" t="str">
        <f>TEXT(SalesData[[#This Row],[Date]],"YYYY")&amp;"  Q"&amp;INT(MONTH(SalesData[[#This Row],[Date]]/2)+3)</f>
        <v>2025  Q11</v>
      </c>
    </row>
    <row r="447" spans="1:21"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c r="T447" t="str">
        <f>TEXT(SalesData[[#This Row],[Date]],"MMM-YYY")</f>
        <v>Jun-2023</v>
      </c>
      <c r="U447" t="str">
        <f>TEXT(SalesData[[#This Row],[Date]],"YYYY")&amp;"  Q"&amp;INT(MONTH(SalesData[[#This Row],[Date]]/2)+3)</f>
        <v>2023  Q12</v>
      </c>
    </row>
    <row r="448" spans="1:21"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c r="T448" t="str">
        <f>TEXT(SalesData[[#This Row],[Date]],"MMM-YYY")</f>
        <v>Jan-2024</v>
      </c>
      <c r="U448" t="str">
        <f>TEXT(SalesData[[#This Row],[Date]],"YYYY")&amp;"  Q"&amp;INT(MONTH(SalesData[[#This Row],[Date]]/2)+3)</f>
        <v>2024  Q4</v>
      </c>
    </row>
    <row r="449" spans="1:21"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c r="T449" t="str">
        <f>TEXT(SalesData[[#This Row],[Date]],"MMM-YYY")</f>
        <v>Mar-2023</v>
      </c>
      <c r="U449" t="str">
        <f>TEXT(SalesData[[#This Row],[Date]],"YYYY")&amp;"  Q"&amp;INT(MONTH(SalesData[[#This Row],[Date]]/2)+3)</f>
        <v>2023  Q11</v>
      </c>
    </row>
    <row r="450" spans="1:21"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c r="T450" t="str">
        <f>TEXT(SalesData[[#This Row],[Date]],"MMM-YYY")</f>
        <v>Jan-2025</v>
      </c>
      <c r="U450" t="str">
        <f>TEXT(SalesData[[#This Row],[Date]],"YYYY")&amp;"  Q"&amp;INT(MONTH(SalesData[[#This Row],[Date]]/2)+3)</f>
        <v>2025  Q10</v>
      </c>
    </row>
    <row r="451" spans="1:21"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c r="T451" t="str">
        <f>TEXT(SalesData[[#This Row],[Date]],"MMM-YYY")</f>
        <v>Mar-2025</v>
      </c>
      <c r="U451" t="str">
        <f>TEXT(SalesData[[#This Row],[Date]],"YYYY")&amp;"  Q"&amp;INT(MONTH(SalesData[[#This Row],[Date]]/2)+3)</f>
        <v>2025  Q11</v>
      </c>
    </row>
    <row r="452" spans="1:21"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c r="T452" t="str">
        <f>TEXT(SalesData[[#This Row],[Date]],"MMM-YYY")</f>
        <v>Oct-2023</v>
      </c>
      <c r="U452" t="str">
        <f>TEXT(SalesData[[#This Row],[Date]],"YYYY")&amp;"  Q"&amp;INT(MONTH(SalesData[[#This Row],[Date]]/2)+3)</f>
        <v>2023  Q14</v>
      </c>
    </row>
    <row r="453" spans="1:21"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c r="T453" t="str">
        <f>TEXT(SalesData[[#This Row],[Date]],"MMM-YYY")</f>
        <v>Jun-2025</v>
      </c>
      <c r="U453" t="str">
        <f>TEXT(SalesData[[#This Row],[Date]],"YYYY")&amp;"  Q"&amp;INT(MONTH(SalesData[[#This Row],[Date]]/2)+3)</f>
        <v>2025  Q12</v>
      </c>
    </row>
    <row r="454" spans="1:21"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c r="T454" t="str">
        <f>TEXT(SalesData[[#This Row],[Date]],"MMM-YYY")</f>
        <v>Feb-2024</v>
      </c>
      <c r="U454" t="str">
        <f>TEXT(SalesData[[#This Row],[Date]],"YYYY")&amp;"  Q"&amp;INT(MONTH(SalesData[[#This Row],[Date]]/2)+3)</f>
        <v>2024  Q4</v>
      </c>
    </row>
    <row r="455" spans="1:21"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c r="T455" t="str">
        <f>TEXT(SalesData[[#This Row],[Date]],"MMM-YYY")</f>
        <v>Oct-2024</v>
      </c>
      <c r="U455" t="str">
        <f>TEXT(SalesData[[#This Row],[Date]],"YYYY")&amp;"  Q"&amp;INT(MONTH(SalesData[[#This Row],[Date]]/2)+3)</f>
        <v>2024  Q8</v>
      </c>
    </row>
    <row r="456" spans="1:21"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c r="T456" t="str">
        <f>TEXT(SalesData[[#This Row],[Date]],"MMM-YYY")</f>
        <v>Aug-2024</v>
      </c>
      <c r="U456" t="str">
        <f>TEXT(SalesData[[#This Row],[Date]],"YYYY")&amp;"  Q"&amp;INT(MONTH(SalesData[[#This Row],[Date]]/2)+3)</f>
        <v>2024  Q7</v>
      </c>
    </row>
    <row r="457" spans="1:21"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c r="T457" t="str">
        <f>TEXT(SalesData[[#This Row],[Date]],"MMM-YYY")</f>
        <v>Jul-2023</v>
      </c>
      <c r="U457" t="str">
        <f>TEXT(SalesData[[#This Row],[Date]],"YYYY")&amp;"  Q"&amp;INT(MONTH(SalesData[[#This Row],[Date]]/2)+3)</f>
        <v>2023  Q13</v>
      </c>
    </row>
    <row r="458" spans="1:21"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c r="T458" t="str">
        <f>TEXT(SalesData[[#This Row],[Date]],"MMM-YYY")</f>
        <v>Aug-2024</v>
      </c>
      <c r="U458" t="str">
        <f>TEXT(SalesData[[#This Row],[Date]],"YYYY")&amp;"  Q"&amp;INT(MONTH(SalesData[[#This Row],[Date]]/2)+3)</f>
        <v>2024  Q7</v>
      </c>
    </row>
    <row r="459" spans="1:21"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c r="T459" t="str">
        <f>TEXT(SalesData[[#This Row],[Date]],"MMM-YYY")</f>
        <v>Nov-2023</v>
      </c>
      <c r="U459" t="str">
        <f>TEXT(SalesData[[#This Row],[Date]],"YYYY")&amp;"  Q"&amp;INT(MONTH(SalesData[[#This Row],[Date]]/2)+3)</f>
        <v>2023  Q15</v>
      </c>
    </row>
    <row r="460" spans="1:21"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c r="T460" t="str">
        <f>TEXT(SalesData[[#This Row],[Date]],"MMM-YYY")</f>
        <v>Jun-2025</v>
      </c>
      <c r="U460" t="str">
        <f>TEXT(SalesData[[#This Row],[Date]],"YYYY")&amp;"  Q"&amp;INT(MONTH(SalesData[[#This Row],[Date]]/2)+3)</f>
        <v>2025  Q12</v>
      </c>
    </row>
    <row r="461" spans="1:21"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c r="T461" t="str">
        <f>TEXT(SalesData[[#This Row],[Date]],"MMM-YYY")</f>
        <v>Jun-2023</v>
      </c>
      <c r="U461" t="str">
        <f>TEXT(SalesData[[#This Row],[Date]],"YYYY")&amp;"  Q"&amp;INT(MONTH(SalesData[[#This Row],[Date]]/2)+3)</f>
        <v>2023  Q12</v>
      </c>
    </row>
    <row r="462" spans="1:21"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c r="T462" t="str">
        <f>TEXT(SalesData[[#This Row],[Date]],"MMM-YYY")</f>
        <v>Sep-2024</v>
      </c>
      <c r="U462" t="str">
        <f>TEXT(SalesData[[#This Row],[Date]],"YYYY")&amp;"  Q"&amp;INT(MONTH(SalesData[[#This Row],[Date]]/2)+3)</f>
        <v>2024  Q8</v>
      </c>
    </row>
    <row r="463" spans="1:21"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c r="T463" t="str">
        <f>TEXT(SalesData[[#This Row],[Date]],"MMM-YYY")</f>
        <v>Jan-2024</v>
      </c>
      <c r="U463" t="str">
        <f>TEXT(SalesData[[#This Row],[Date]],"YYYY")&amp;"  Q"&amp;INT(MONTH(SalesData[[#This Row],[Date]]/2)+3)</f>
        <v>2024  Q15</v>
      </c>
    </row>
    <row r="464" spans="1:21"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c r="T464" t="str">
        <f>TEXT(SalesData[[#This Row],[Date]],"MMM-YYY")</f>
        <v>Jan-2025</v>
      </c>
      <c r="U464" t="str">
        <f>TEXT(SalesData[[#This Row],[Date]],"YYYY")&amp;"  Q"&amp;INT(MONTH(SalesData[[#This Row],[Date]]/2)+3)</f>
        <v>2025  Q10</v>
      </c>
    </row>
    <row r="465" spans="1:21"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c r="T465" t="str">
        <f>TEXT(SalesData[[#This Row],[Date]],"MMM-YYY")</f>
        <v>Mar-2024</v>
      </c>
      <c r="U465" t="str">
        <f>TEXT(SalesData[[#This Row],[Date]],"YYYY")&amp;"  Q"&amp;INT(MONTH(SalesData[[#This Row],[Date]]/2)+3)</f>
        <v>2024  Q5</v>
      </c>
    </row>
    <row r="466" spans="1:21"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c r="T466" t="str">
        <f>TEXT(SalesData[[#This Row],[Date]],"MMM-YYY")</f>
        <v>May-2024</v>
      </c>
      <c r="U466" t="str">
        <f>TEXT(SalesData[[#This Row],[Date]],"YYYY")&amp;"  Q"&amp;INT(MONTH(SalesData[[#This Row],[Date]]/2)+3)</f>
        <v>2024  Q6</v>
      </c>
    </row>
    <row r="467" spans="1:21"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c r="T467" t="str">
        <f>TEXT(SalesData[[#This Row],[Date]],"MMM-YYY")</f>
        <v>Feb-2025</v>
      </c>
      <c r="U467" t="str">
        <f>TEXT(SalesData[[#This Row],[Date]],"YYYY")&amp;"  Q"&amp;INT(MONTH(SalesData[[#This Row],[Date]]/2)+3)</f>
        <v>2025  Q10</v>
      </c>
    </row>
    <row r="468" spans="1:21"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c r="T468" t="str">
        <f>TEXT(SalesData[[#This Row],[Date]],"MMM-YYY")</f>
        <v>Nov-2024</v>
      </c>
      <c r="U468" t="str">
        <f>TEXT(SalesData[[#This Row],[Date]],"YYYY")&amp;"  Q"&amp;INT(MONTH(SalesData[[#This Row],[Date]]/2)+3)</f>
        <v>2024  Q9</v>
      </c>
    </row>
    <row r="469" spans="1:21"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c r="T469" t="str">
        <f>TEXT(SalesData[[#This Row],[Date]],"MMM-YYY")</f>
        <v>Oct-2023</v>
      </c>
      <c r="U469" t="str">
        <f>TEXT(SalesData[[#This Row],[Date]],"YYYY")&amp;"  Q"&amp;INT(MONTH(SalesData[[#This Row],[Date]]/2)+3)</f>
        <v>2023  Q14</v>
      </c>
    </row>
    <row r="470" spans="1:21"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c r="T470" t="str">
        <f>TEXT(SalesData[[#This Row],[Date]],"MMM-YYY")</f>
        <v>Dec-2023</v>
      </c>
      <c r="U470" t="str">
        <f>TEXT(SalesData[[#This Row],[Date]],"YYYY")&amp;"  Q"&amp;INT(MONTH(SalesData[[#This Row],[Date]]/2)+3)</f>
        <v>2023  Q15</v>
      </c>
    </row>
    <row r="471" spans="1:21"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c r="T471" t="str">
        <f>TEXT(SalesData[[#This Row],[Date]],"MMM-YYY")</f>
        <v>Nov-2023</v>
      </c>
      <c r="U471" t="str">
        <f>TEXT(SalesData[[#This Row],[Date]],"YYYY")&amp;"  Q"&amp;INT(MONTH(SalesData[[#This Row],[Date]]/2)+3)</f>
        <v>2023  Q15</v>
      </c>
    </row>
    <row r="472" spans="1:21"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c r="T472" t="str">
        <f>TEXT(SalesData[[#This Row],[Date]],"MMM-YYY")</f>
        <v>Aug-2023</v>
      </c>
      <c r="U472" t="str">
        <f>TEXT(SalesData[[#This Row],[Date]],"YYYY")&amp;"  Q"&amp;INT(MONTH(SalesData[[#This Row],[Date]]/2)+3)</f>
        <v>2023  Q13</v>
      </c>
    </row>
    <row r="473" spans="1:21"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c r="T473" t="str">
        <f>TEXT(SalesData[[#This Row],[Date]],"MMM-YYY")</f>
        <v>Jan-2023</v>
      </c>
      <c r="U473" t="str">
        <f>TEXT(SalesData[[#This Row],[Date]],"YYYY")&amp;"  Q"&amp;INT(MONTH(SalesData[[#This Row],[Date]]/2)+3)</f>
        <v>2023  Q10</v>
      </c>
    </row>
    <row r="474" spans="1:21"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c r="T474" t="str">
        <f>TEXT(SalesData[[#This Row],[Date]],"MMM-YYY")</f>
        <v>Feb-2025</v>
      </c>
      <c r="U474" t="str">
        <f>TEXT(SalesData[[#This Row],[Date]],"YYYY")&amp;"  Q"&amp;INT(MONTH(SalesData[[#This Row],[Date]]/2)+3)</f>
        <v>2025  Q10</v>
      </c>
    </row>
    <row r="475" spans="1:21"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c r="T475" t="str">
        <f>TEXT(SalesData[[#This Row],[Date]],"MMM-YYY")</f>
        <v>Nov-2023</v>
      </c>
      <c r="U475" t="str">
        <f>TEXT(SalesData[[#This Row],[Date]],"YYYY")&amp;"  Q"&amp;INT(MONTH(SalesData[[#This Row],[Date]]/2)+3)</f>
        <v>2023  Q15</v>
      </c>
    </row>
    <row r="476" spans="1:21"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c r="T476" t="str">
        <f>TEXT(SalesData[[#This Row],[Date]],"MMM-YYY")</f>
        <v>Dec-2023</v>
      </c>
      <c r="U476" t="str">
        <f>TEXT(SalesData[[#This Row],[Date]],"YYYY")&amp;"  Q"&amp;INT(MONTH(SalesData[[#This Row],[Date]]/2)+3)</f>
        <v>2023  Q15</v>
      </c>
    </row>
    <row r="477" spans="1:21"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c r="T477" t="str">
        <f>TEXT(SalesData[[#This Row],[Date]],"MMM-YYY")</f>
        <v>Jun-2024</v>
      </c>
      <c r="U477" t="str">
        <f>TEXT(SalesData[[#This Row],[Date]],"YYYY")&amp;"  Q"&amp;INT(MONTH(SalesData[[#This Row],[Date]]/2)+3)</f>
        <v>2024  Q6</v>
      </c>
    </row>
    <row r="478" spans="1:21"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c r="T478" t="str">
        <f>TEXT(SalesData[[#This Row],[Date]],"MMM-YYY")</f>
        <v>Mar-2025</v>
      </c>
      <c r="U478" t="str">
        <f>TEXT(SalesData[[#This Row],[Date]],"YYYY")&amp;"  Q"&amp;INT(MONTH(SalesData[[#This Row],[Date]]/2)+3)</f>
        <v>2025  Q11</v>
      </c>
    </row>
    <row r="479" spans="1:21"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c r="T479" t="str">
        <f>TEXT(SalesData[[#This Row],[Date]],"MMM-YYY")</f>
        <v>Aug-2023</v>
      </c>
      <c r="U479" t="str">
        <f>TEXT(SalesData[[#This Row],[Date]],"YYYY")&amp;"  Q"&amp;INT(MONTH(SalesData[[#This Row],[Date]]/2)+3)</f>
        <v>2023  Q13</v>
      </c>
    </row>
    <row r="480" spans="1:21"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c r="T480" t="str">
        <f>TEXT(SalesData[[#This Row],[Date]],"MMM-YYY")</f>
        <v>Aug-2023</v>
      </c>
      <c r="U480" t="str">
        <f>TEXT(SalesData[[#This Row],[Date]],"YYYY")&amp;"  Q"&amp;INT(MONTH(SalesData[[#This Row],[Date]]/2)+3)</f>
        <v>2023  Q13</v>
      </c>
    </row>
    <row r="481" spans="1:21"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c r="T481" t="str">
        <f>TEXT(SalesData[[#This Row],[Date]],"MMM-YYY")</f>
        <v>Jun-2025</v>
      </c>
      <c r="U481" t="str">
        <f>TEXT(SalesData[[#This Row],[Date]],"YYYY")&amp;"  Q"&amp;INT(MONTH(SalesData[[#This Row],[Date]]/2)+3)</f>
        <v>2025  Q12</v>
      </c>
    </row>
    <row r="482" spans="1:21"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c r="T482" t="str">
        <f>TEXT(SalesData[[#This Row],[Date]],"MMM-YYY")</f>
        <v>Jun-2023</v>
      </c>
      <c r="U482" t="str">
        <f>TEXT(SalesData[[#This Row],[Date]],"YYYY")&amp;"  Q"&amp;INT(MONTH(SalesData[[#This Row],[Date]]/2)+3)</f>
        <v>2023  Q12</v>
      </c>
    </row>
    <row r="483" spans="1:21"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c r="T483" t="str">
        <f>TEXT(SalesData[[#This Row],[Date]],"MMM-YYY")</f>
        <v>Aug-2023</v>
      </c>
      <c r="U483" t="str">
        <f>TEXT(SalesData[[#This Row],[Date]],"YYYY")&amp;"  Q"&amp;INT(MONTH(SalesData[[#This Row],[Date]]/2)+3)</f>
        <v>2023  Q13</v>
      </c>
    </row>
    <row r="484" spans="1:21"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c r="T484" t="str">
        <f>TEXT(SalesData[[#This Row],[Date]],"MMM-YYY")</f>
        <v>Apr-2024</v>
      </c>
      <c r="U484" t="str">
        <f>TEXT(SalesData[[#This Row],[Date]],"YYYY")&amp;"  Q"&amp;INT(MONTH(SalesData[[#This Row],[Date]]/2)+3)</f>
        <v>2024  Q5</v>
      </c>
    </row>
    <row r="485" spans="1:21"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c r="T485" t="str">
        <f>TEXT(SalesData[[#This Row],[Date]],"MMM-YYY")</f>
        <v>Jul-2023</v>
      </c>
      <c r="U485" t="str">
        <f>TEXT(SalesData[[#This Row],[Date]],"YYYY")&amp;"  Q"&amp;INT(MONTH(SalesData[[#This Row],[Date]]/2)+3)</f>
        <v>2023  Q13</v>
      </c>
    </row>
    <row r="486" spans="1:21"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c r="T486" t="str">
        <f>TEXT(SalesData[[#This Row],[Date]],"MMM-YYY")</f>
        <v>Jan-2025</v>
      </c>
      <c r="U486" t="str">
        <f>TEXT(SalesData[[#This Row],[Date]],"YYYY")&amp;"  Q"&amp;INT(MONTH(SalesData[[#This Row],[Date]]/2)+3)</f>
        <v>2025  Q10</v>
      </c>
    </row>
    <row r="487" spans="1:21"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c r="T487" t="str">
        <f>TEXT(SalesData[[#This Row],[Date]],"MMM-YYY")</f>
        <v>Feb-2025</v>
      </c>
      <c r="U487" t="str">
        <f>TEXT(SalesData[[#This Row],[Date]],"YYYY")&amp;"  Q"&amp;INT(MONTH(SalesData[[#This Row],[Date]]/2)+3)</f>
        <v>2025  Q10</v>
      </c>
    </row>
    <row r="488" spans="1:21"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c r="T488" t="str">
        <f>TEXT(SalesData[[#This Row],[Date]],"MMM-YYY")</f>
        <v>Jul-2023</v>
      </c>
      <c r="U488" t="str">
        <f>TEXT(SalesData[[#This Row],[Date]],"YYYY")&amp;"  Q"&amp;INT(MONTH(SalesData[[#This Row],[Date]]/2)+3)</f>
        <v>2023  Q13</v>
      </c>
    </row>
    <row r="489" spans="1:21"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c r="T489" t="str">
        <f>TEXT(SalesData[[#This Row],[Date]],"MMM-YYY")</f>
        <v>Sep-2024</v>
      </c>
      <c r="U489" t="str">
        <f>TEXT(SalesData[[#This Row],[Date]],"YYYY")&amp;"  Q"&amp;INT(MONTH(SalesData[[#This Row],[Date]]/2)+3)</f>
        <v>2024  Q8</v>
      </c>
    </row>
    <row r="490" spans="1:21"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c r="T490" t="str">
        <f>TEXT(SalesData[[#This Row],[Date]],"MMM-YYY")</f>
        <v>Oct-2024</v>
      </c>
      <c r="U490" t="str">
        <f>TEXT(SalesData[[#This Row],[Date]],"YYYY")&amp;"  Q"&amp;INT(MONTH(SalesData[[#This Row],[Date]]/2)+3)</f>
        <v>2024  Q8</v>
      </c>
    </row>
    <row r="491" spans="1:21"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c r="T491" t="str">
        <f>TEXT(SalesData[[#This Row],[Date]],"MMM-YYY")</f>
        <v>Jun-2025</v>
      </c>
      <c r="U491" t="str">
        <f>TEXT(SalesData[[#This Row],[Date]],"YYYY")&amp;"  Q"&amp;INT(MONTH(SalesData[[#This Row],[Date]]/2)+3)</f>
        <v>2025  Q12</v>
      </c>
    </row>
    <row r="492" spans="1:21"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c r="T492" t="str">
        <f>TEXT(SalesData[[#This Row],[Date]],"MMM-YYY")</f>
        <v>Jan-2024</v>
      </c>
      <c r="U492" t="str">
        <f>TEXT(SalesData[[#This Row],[Date]],"YYYY")&amp;"  Q"&amp;INT(MONTH(SalesData[[#This Row],[Date]]/2)+3)</f>
        <v>2024  Q4</v>
      </c>
    </row>
    <row r="493" spans="1:21"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c r="T493" t="str">
        <f>TEXT(SalesData[[#This Row],[Date]],"MMM-YYY")</f>
        <v>Dec-2023</v>
      </c>
      <c r="U493" t="str">
        <f>TEXT(SalesData[[#This Row],[Date]],"YYYY")&amp;"  Q"&amp;INT(MONTH(SalesData[[#This Row],[Date]]/2)+3)</f>
        <v>2023  Q15</v>
      </c>
    </row>
    <row r="494" spans="1:21"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c r="T494" t="str">
        <f>TEXT(SalesData[[#This Row],[Date]],"MMM-YYY")</f>
        <v>Jun-2024</v>
      </c>
      <c r="U494" t="str">
        <f>TEXT(SalesData[[#This Row],[Date]],"YYYY")&amp;"  Q"&amp;INT(MONTH(SalesData[[#This Row],[Date]]/2)+3)</f>
        <v>2024  Q6</v>
      </c>
    </row>
    <row r="495" spans="1:21"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c r="T495" t="str">
        <f>TEXT(SalesData[[#This Row],[Date]],"MMM-YYY")</f>
        <v>Oct-2024</v>
      </c>
      <c r="U495" t="str">
        <f>TEXT(SalesData[[#This Row],[Date]],"YYYY")&amp;"  Q"&amp;INT(MONTH(SalesData[[#This Row],[Date]]/2)+3)</f>
        <v>2024  Q8</v>
      </c>
    </row>
    <row r="496" spans="1:21"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c r="T496" t="str">
        <f>TEXT(SalesData[[#This Row],[Date]],"MMM-YYY")</f>
        <v>Jan-2025</v>
      </c>
      <c r="U496" t="str">
        <f>TEXT(SalesData[[#This Row],[Date]],"YYYY")&amp;"  Q"&amp;INT(MONTH(SalesData[[#This Row],[Date]]/2)+3)</f>
        <v>2025  Q10</v>
      </c>
    </row>
    <row r="497" spans="1:21"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c r="T497" t="str">
        <f>TEXT(SalesData[[#This Row],[Date]],"MMM-YYY")</f>
        <v>Oct-2023</v>
      </c>
      <c r="U497" t="str">
        <f>TEXT(SalesData[[#This Row],[Date]],"YYYY")&amp;"  Q"&amp;INT(MONTH(SalesData[[#This Row],[Date]]/2)+3)</f>
        <v>2023  Q14</v>
      </c>
    </row>
    <row r="498" spans="1:21"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c r="T498" t="str">
        <f>TEXT(SalesData[[#This Row],[Date]],"MMM-YYY")</f>
        <v>Nov-2023</v>
      </c>
      <c r="U498" t="str">
        <f>TEXT(SalesData[[#This Row],[Date]],"YYYY")&amp;"  Q"&amp;INT(MONTH(SalesData[[#This Row],[Date]]/2)+3)</f>
        <v>2023  Q15</v>
      </c>
    </row>
    <row r="499" spans="1:21"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c r="T499" t="str">
        <f>TEXT(SalesData[[#This Row],[Date]],"MMM-YYY")</f>
        <v>Jun-2023</v>
      </c>
      <c r="U499" t="str">
        <f>TEXT(SalesData[[#This Row],[Date]],"YYYY")&amp;"  Q"&amp;INT(MONTH(SalesData[[#This Row],[Date]]/2)+3)</f>
        <v>2023  Q12</v>
      </c>
    </row>
    <row r="500" spans="1:21"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c r="T500" t="str">
        <f>TEXT(SalesData[[#This Row],[Date]],"MMM-YYY")</f>
        <v>Jul-2024</v>
      </c>
      <c r="U500" t="str">
        <f>TEXT(SalesData[[#This Row],[Date]],"YYYY")&amp;"  Q"&amp;INT(MONTH(SalesData[[#This Row],[Date]]/2)+3)</f>
        <v>2024  Q7</v>
      </c>
    </row>
    <row r="501" spans="1:21"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c r="T501" t="str">
        <f>TEXT(SalesData[[#This Row],[Date]],"MMM-YYY")</f>
        <v>Jun-2024</v>
      </c>
      <c r="U501" t="str">
        <f>TEXT(SalesData[[#This Row],[Date]],"YYYY")&amp;"  Q"&amp;INT(MONTH(SalesData[[#This Row],[Date]]/2)+3)</f>
        <v>2024  Q6</v>
      </c>
    </row>
    <row r="502" spans="1:21"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c r="T502" t="str">
        <f>TEXT(SalesData[[#This Row],[Date]],"MMM-YYY")</f>
        <v>Apr-2024</v>
      </c>
      <c r="U502" t="str">
        <f>TEXT(SalesData[[#This Row],[Date]],"YYYY")&amp;"  Q"&amp;INT(MONTH(SalesData[[#This Row],[Date]]/2)+3)</f>
        <v>2024  Q5</v>
      </c>
    </row>
    <row r="503" spans="1:21"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c r="T503" t="str">
        <f>TEXT(SalesData[[#This Row],[Date]],"MMM-YYY")</f>
        <v>Feb-2023</v>
      </c>
      <c r="U503" t="str">
        <f>TEXT(SalesData[[#This Row],[Date]],"YYYY")&amp;"  Q"&amp;INT(MONTH(SalesData[[#This Row],[Date]]/2)+3)</f>
        <v>2023  Q10</v>
      </c>
    </row>
    <row r="504" spans="1:21"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c r="T504" t="str">
        <f>TEXT(SalesData[[#This Row],[Date]],"MMM-YYY")</f>
        <v>Jul-2023</v>
      </c>
      <c r="U504" t="str">
        <f>TEXT(SalesData[[#This Row],[Date]],"YYYY")&amp;"  Q"&amp;INT(MONTH(SalesData[[#This Row],[Date]]/2)+3)</f>
        <v>2023  Q13</v>
      </c>
    </row>
    <row r="505" spans="1:21"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c r="T505" t="str">
        <f>TEXT(SalesData[[#This Row],[Date]],"MMM-YYY")</f>
        <v>Mar-2023</v>
      </c>
      <c r="U505" t="str">
        <f>TEXT(SalesData[[#This Row],[Date]],"YYYY")&amp;"  Q"&amp;INT(MONTH(SalesData[[#This Row],[Date]]/2)+3)</f>
        <v>2023  Q11</v>
      </c>
    </row>
    <row r="506" spans="1:21"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c r="T506" t="str">
        <f>TEXT(SalesData[[#This Row],[Date]],"MMM-YYY")</f>
        <v>Apr-2023</v>
      </c>
      <c r="U506" t="str">
        <f>TEXT(SalesData[[#This Row],[Date]],"YYYY")&amp;"  Q"&amp;INT(MONTH(SalesData[[#This Row],[Date]]/2)+3)</f>
        <v>2023  Q11</v>
      </c>
    </row>
    <row r="507" spans="1:21"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c r="T507" t="str">
        <f>TEXT(SalesData[[#This Row],[Date]],"MMM-YYY")</f>
        <v>Oct-2024</v>
      </c>
      <c r="U507" t="str">
        <f>TEXT(SalesData[[#This Row],[Date]],"YYYY")&amp;"  Q"&amp;INT(MONTH(SalesData[[#This Row],[Date]]/2)+3)</f>
        <v>2024  Q8</v>
      </c>
    </row>
    <row r="508" spans="1:21"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c r="T508" t="str">
        <f>TEXT(SalesData[[#This Row],[Date]],"MMM-YYY")</f>
        <v>Jun-2024</v>
      </c>
      <c r="U508" t="str">
        <f>TEXT(SalesData[[#This Row],[Date]],"YYYY")&amp;"  Q"&amp;INT(MONTH(SalesData[[#This Row],[Date]]/2)+3)</f>
        <v>2024  Q6</v>
      </c>
    </row>
    <row r="509" spans="1:21"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c r="T509" t="str">
        <f>TEXT(SalesData[[#This Row],[Date]],"MMM-YYY")</f>
        <v>Oct-2024</v>
      </c>
      <c r="U509" t="str">
        <f>TEXT(SalesData[[#This Row],[Date]],"YYYY")&amp;"  Q"&amp;INT(MONTH(SalesData[[#This Row],[Date]]/2)+3)</f>
        <v>2024  Q8</v>
      </c>
    </row>
    <row r="510" spans="1:21"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c r="T510" t="str">
        <f>TEXT(SalesData[[#This Row],[Date]],"MMM-YYY")</f>
        <v>Jun-2025</v>
      </c>
      <c r="U510" t="str">
        <f>TEXT(SalesData[[#This Row],[Date]],"YYYY")&amp;"  Q"&amp;INT(MONTH(SalesData[[#This Row],[Date]]/2)+3)</f>
        <v>2025  Q12</v>
      </c>
    </row>
    <row r="511" spans="1:21"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c r="T511" t="str">
        <f>TEXT(SalesData[[#This Row],[Date]],"MMM-YYY")</f>
        <v>Dec-2024</v>
      </c>
      <c r="U511" t="str">
        <f>TEXT(SalesData[[#This Row],[Date]],"YYYY")&amp;"  Q"&amp;INT(MONTH(SalesData[[#This Row],[Date]]/2)+3)</f>
        <v>2024  Q9</v>
      </c>
    </row>
    <row r="512" spans="1:21"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c r="T512" t="str">
        <f>TEXT(SalesData[[#This Row],[Date]],"MMM-YYY")</f>
        <v>Apr-2024</v>
      </c>
      <c r="U512" t="str">
        <f>TEXT(SalesData[[#This Row],[Date]],"YYYY")&amp;"  Q"&amp;INT(MONTH(SalesData[[#This Row],[Date]]/2)+3)</f>
        <v>2024  Q5</v>
      </c>
    </row>
    <row r="513" spans="1:21"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c r="T513" t="str">
        <f>TEXT(SalesData[[#This Row],[Date]],"MMM-YYY")</f>
        <v>Jan-2025</v>
      </c>
      <c r="U513" t="str">
        <f>TEXT(SalesData[[#This Row],[Date]],"YYYY")&amp;"  Q"&amp;INT(MONTH(SalesData[[#This Row],[Date]]/2)+3)</f>
        <v>2025  Q10</v>
      </c>
    </row>
    <row r="514" spans="1:21"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c r="T514" t="str">
        <f>TEXT(SalesData[[#This Row],[Date]],"MMM-YYY")</f>
        <v>Nov-2024</v>
      </c>
      <c r="U514" t="str">
        <f>TEXT(SalesData[[#This Row],[Date]],"YYYY")&amp;"  Q"&amp;INT(MONTH(SalesData[[#This Row],[Date]]/2)+3)</f>
        <v>2024  Q9</v>
      </c>
    </row>
    <row r="515" spans="1:21"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c r="T515" t="str">
        <f>TEXT(SalesData[[#This Row],[Date]],"MMM-YYY")</f>
        <v>Mar-2023</v>
      </c>
      <c r="U515" t="str">
        <f>TEXT(SalesData[[#This Row],[Date]],"YYYY")&amp;"  Q"&amp;INT(MONTH(SalesData[[#This Row],[Date]]/2)+3)</f>
        <v>2023  Q11</v>
      </c>
    </row>
    <row r="516" spans="1:21"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c r="T516" t="str">
        <f>TEXT(SalesData[[#This Row],[Date]],"MMM-YYY")</f>
        <v>May-2023</v>
      </c>
      <c r="U516" t="str">
        <f>TEXT(SalesData[[#This Row],[Date]],"YYYY")&amp;"  Q"&amp;INT(MONTH(SalesData[[#This Row],[Date]]/2)+3)</f>
        <v>2023  Q12</v>
      </c>
    </row>
    <row r="517" spans="1:21"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c r="T517" t="str">
        <f>TEXT(SalesData[[#This Row],[Date]],"MMM-YYY")</f>
        <v>Nov-2024</v>
      </c>
      <c r="U517" t="str">
        <f>TEXT(SalesData[[#This Row],[Date]],"YYYY")&amp;"  Q"&amp;INT(MONTH(SalesData[[#This Row],[Date]]/2)+3)</f>
        <v>2024  Q9</v>
      </c>
    </row>
    <row r="518" spans="1:21"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c r="T518" t="str">
        <f>TEXT(SalesData[[#This Row],[Date]],"MMM-YYY")</f>
        <v>Jun-2024</v>
      </c>
      <c r="U518" t="str">
        <f>TEXT(SalesData[[#This Row],[Date]],"YYYY")&amp;"  Q"&amp;INT(MONTH(SalesData[[#This Row],[Date]]/2)+3)</f>
        <v>2024  Q6</v>
      </c>
    </row>
    <row r="519" spans="1:21"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c r="T519" t="str">
        <f>TEXT(SalesData[[#This Row],[Date]],"MMM-YYY")</f>
        <v>May-2025</v>
      </c>
      <c r="U519" t="str">
        <f>TEXT(SalesData[[#This Row],[Date]],"YYYY")&amp;"  Q"&amp;INT(MONTH(SalesData[[#This Row],[Date]]/2)+3)</f>
        <v>2025  Q12</v>
      </c>
    </row>
    <row r="520" spans="1:21"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c r="T520" t="str">
        <f>TEXT(SalesData[[#This Row],[Date]],"MMM-YYY")</f>
        <v>Feb-2023</v>
      </c>
      <c r="U520" t="str">
        <f>TEXT(SalesData[[#This Row],[Date]],"YYYY")&amp;"  Q"&amp;INT(MONTH(SalesData[[#This Row],[Date]]/2)+3)</f>
        <v>2023  Q10</v>
      </c>
    </row>
    <row r="521" spans="1:21"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c r="T521" t="str">
        <f>TEXT(SalesData[[#This Row],[Date]],"MMM-YYY")</f>
        <v>Apr-2024</v>
      </c>
      <c r="U521" t="str">
        <f>TEXT(SalesData[[#This Row],[Date]],"YYYY")&amp;"  Q"&amp;INT(MONTH(SalesData[[#This Row],[Date]]/2)+3)</f>
        <v>2024  Q6</v>
      </c>
    </row>
    <row r="522" spans="1:21"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c r="T522" t="str">
        <f>TEXT(SalesData[[#This Row],[Date]],"MMM-YYY")</f>
        <v>Mar-2025</v>
      </c>
      <c r="U522" t="str">
        <f>TEXT(SalesData[[#This Row],[Date]],"YYYY")&amp;"  Q"&amp;INT(MONTH(SalesData[[#This Row],[Date]]/2)+3)</f>
        <v>2025  Q11</v>
      </c>
    </row>
    <row r="523" spans="1:21"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c r="T523" t="str">
        <f>TEXT(SalesData[[#This Row],[Date]],"MMM-YYY")</f>
        <v>Jun-2025</v>
      </c>
      <c r="U523" t="str">
        <f>TEXT(SalesData[[#This Row],[Date]],"YYYY")&amp;"  Q"&amp;INT(MONTH(SalesData[[#This Row],[Date]]/2)+3)</f>
        <v>2025  Q12</v>
      </c>
    </row>
    <row r="524" spans="1:21"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c r="T524" t="str">
        <f>TEXT(SalesData[[#This Row],[Date]],"MMM-YYY")</f>
        <v>Jun-2024</v>
      </c>
      <c r="U524" t="str">
        <f>TEXT(SalesData[[#This Row],[Date]],"YYYY")&amp;"  Q"&amp;INT(MONTH(SalesData[[#This Row],[Date]]/2)+3)</f>
        <v>2024  Q6</v>
      </c>
    </row>
    <row r="525" spans="1:21"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c r="T525" t="str">
        <f>TEXT(SalesData[[#This Row],[Date]],"MMM-YYY")</f>
        <v>Sep-2024</v>
      </c>
      <c r="U525" t="str">
        <f>TEXT(SalesData[[#This Row],[Date]],"YYYY")&amp;"  Q"&amp;INT(MONTH(SalesData[[#This Row],[Date]]/2)+3)</f>
        <v>2024  Q8</v>
      </c>
    </row>
    <row r="526" spans="1:21"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c r="T526" t="str">
        <f>TEXT(SalesData[[#This Row],[Date]],"MMM-YYY")</f>
        <v>Jan-2025</v>
      </c>
      <c r="U526" t="str">
        <f>TEXT(SalesData[[#This Row],[Date]],"YYYY")&amp;"  Q"&amp;INT(MONTH(SalesData[[#This Row],[Date]]/2)+3)</f>
        <v>2025  Q10</v>
      </c>
    </row>
    <row r="527" spans="1:21"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c r="T527" t="str">
        <f>TEXT(SalesData[[#This Row],[Date]],"MMM-YYY")</f>
        <v>Mar-2025</v>
      </c>
      <c r="U527" t="str">
        <f>TEXT(SalesData[[#This Row],[Date]],"YYYY")&amp;"  Q"&amp;INT(MONTH(SalesData[[#This Row],[Date]]/2)+3)</f>
        <v>2025  Q11</v>
      </c>
    </row>
    <row r="528" spans="1:21"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c r="T528" t="str">
        <f>TEXT(SalesData[[#This Row],[Date]],"MMM-YYY")</f>
        <v>Nov-2024</v>
      </c>
      <c r="U528" t="str">
        <f>TEXT(SalesData[[#This Row],[Date]],"YYYY")&amp;"  Q"&amp;INT(MONTH(SalesData[[#This Row],[Date]]/2)+3)</f>
        <v>2024  Q9</v>
      </c>
    </row>
    <row r="529" spans="1:21"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c r="T529" t="str">
        <f>TEXT(SalesData[[#This Row],[Date]],"MMM-YYY")</f>
        <v>Jul-2023</v>
      </c>
      <c r="U529" t="str">
        <f>TEXT(SalesData[[#This Row],[Date]],"YYYY")&amp;"  Q"&amp;INT(MONTH(SalesData[[#This Row],[Date]]/2)+3)</f>
        <v>2023  Q13</v>
      </c>
    </row>
    <row r="530" spans="1:21"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c r="T530" t="str">
        <f>TEXT(SalesData[[#This Row],[Date]],"MMM-YYY")</f>
        <v>Oct-2024</v>
      </c>
      <c r="U530" t="str">
        <f>TEXT(SalesData[[#This Row],[Date]],"YYYY")&amp;"  Q"&amp;INT(MONTH(SalesData[[#This Row],[Date]]/2)+3)</f>
        <v>2024  Q8</v>
      </c>
    </row>
    <row r="531" spans="1:21"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c r="T531" t="str">
        <f>TEXT(SalesData[[#This Row],[Date]],"MMM-YYY")</f>
        <v>Apr-2025</v>
      </c>
      <c r="U531" t="str">
        <f>TEXT(SalesData[[#This Row],[Date]],"YYYY")&amp;"  Q"&amp;INT(MONTH(SalesData[[#This Row],[Date]]/2)+3)</f>
        <v>2025  Q11</v>
      </c>
    </row>
    <row r="532" spans="1:21"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c r="T532" t="str">
        <f>TEXT(SalesData[[#This Row],[Date]],"MMM-YYY")</f>
        <v>Jun-2024</v>
      </c>
      <c r="U532" t="str">
        <f>TEXT(SalesData[[#This Row],[Date]],"YYYY")&amp;"  Q"&amp;INT(MONTH(SalesData[[#This Row],[Date]]/2)+3)</f>
        <v>2024  Q6</v>
      </c>
    </row>
    <row r="533" spans="1:21"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c r="T533" t="str">
        <f>TEXT(SalesData[[#This Row],[Date]],"MMM-YYY")</f>
        <v>Jan-2025</v>
      </c>
      <c r="U533" t="str">
        <f>TEXT(SalesData[[#This Row],[Date]],"YYYY")&amp;"  Q"&amp;INT(MONTH(SalesData[[#This Row],[Date]]/2)+3)</f>
        <v>2025  Q10</v>
      </c>
    </row>
    <row r="534" spans="1:21"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c r="T534" t="str">
        <f>TEXT(SalesData[[#This Row],[Date]],"MMM-YYY")</f>
        <v>Nov-2024</v>
      </c>
      <c r="U534" t="str">
        <f>TEXT(SalesData[[#This Row],[Date]],"YYYY")&amp;"  Q"&amp;INT(MONTH(SalesData[[#This Row],[Date]]/2)+3)</f>
        <v>2024  Q9</v>
      </c>
    </row>
    <row r="535" spans="1:21"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c r="T535" t="str">
        <f>TEXT(SalesData[[#This Row],[Date]],"MMM-YYY")</f>
        <v>Jan-2024</v>
      </c>
      <c r="U535" t="str">
        <f>TEXT(SalesData[[#This Row],[Date]],"YYYY")&amp;"  Q"&amp;INT(MONTH(SalesData[[#This Row],[Date]]/2)+3)</f>
        <v>2024  Q15</v>
      </c>
    </row>
    <row r="536" spans="1:21"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c r="T536" t="str">
        <f>TEXT(SalesData[[#This Row],[Date]],"MMM-YYY")</f>
        <v>Apr-2024</v>
      </c>
      <c r="U536" t="str">
        <f>TEXT(SalesData[[#This Row],[Date]],"YYYY")&amp;"  Q"&amp;INT(MONTH(SalesData[[#This Row],[Date]]/2)+3)</f>
        <v>2024  Q5</v>
      </c>
    </row>
    <row r="537" spans="1:21"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c r="T537" t="str">
        <f>TEXT(SalesData[[#This Row],[Date]],"MMM-YYY")</f>
        <v>Jan-2025</v>
      </c>
      <c r="U537" t="str">
        <f>TEXT(SalesData[[#This Row],[Date]],"YYYY")&amp;"  Q"&amp;INT(MONTH(SalesData[[#This Row],[Date]]/2)+3)</f>
        <v>2025  Q10</v>
      </c>
    </row>
    <row r="538" spans="1:21"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c r="T538" t="str">
        <f>TEXT(SalesData[[#This Row],[Date]],"MMM-YYY")</f>
        <v>Sep-2024</v>
      </c>
      <c r="U538" t="str">
        <f>TEXT(SalesData[[#This Row],[Date]],"YYYY")&amp;"  Q"&amp;INT(MONTH(SalesData[[#This Row],[Date]]/2)+3)</f>
        <v>2024  Q8</v>
      </c>
    </row>
    <row r="539" spans="1:21"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c r="T539" t="str">
        <f>TEXT(SalesData[[#This Row],[Date]],"MMM-YYY")</f>
        <v>Jan-2023</v>
      </c>
      <c r="U539" t="str">
        <f>TEXT(SalesData[[#This Row],[Date]],"YYYY")&amp;"  Q"&amp;INT(MONTH(SalesData[[#This Row],[Date]]/2)+3)</f>
        <v>2023  Q10</v>
      </c>
    </row>
    <row r="540" spans="1:21"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c r="T540" t="str">
        <f>TEXT(SalesData[[#This Row],[Date]],"MMM-YYY")</f>
        <v>Jan-2024</v>
      </c>
      <c r="U540" t="str">
        <f>TEXT(SalesData[[#This Row],[Date]],"YYYY")&amp;"  Q"&amp;INT(MONTH(SalesData[[#This Row],[Date]]/2)+3)</f>
        <v>2024  Q4</v>
      </c>
    </row>
    <row r="541" spans="1:21"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c r="T541" t="str">
        <f>TEXT(SalesData[[#This Row],[Date]],"MMM-YYY")</f>
        <v>Apr-2024</v>
      </c>
      <c r="U541" t="str">
        <f>TEXT(SalesData[[#This Row],[Date]],"YYYY")&amp;"  Q"&amp;INT(MONTH(SalesData[[#This Row],[Date]]/2)+3)</f>
        <v>2024  Q5</v>
      </c>
    </row>
    <row r="542" spans="1:21"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c r="T542" t="str">
        <f>TEXT(SalesData[[#This Row],[Date]],"MMM-YYY")</f>
        <v>Apr-2023</v>
      </c>
      <c r="U542" t="str">
        <f>TEXT(SalesData[[#This Row],[Date]],"YYYY")&amp;"  Q"&amp;INT(MONTH(SalesData[[#This Row],[Date]]/2)+3)</f>
        <v>2023  Q11</v>
      </c>
    </row>
    <row r="543" spans="1:21"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c r="T543" t="str">
        <f>TEXT(SalesData[[#This Row],[Date]],"MMM-YYY")</f>
        <v>Jul-2024</v>
      </c>
      <c r="U543" t="str">
        <f>TEXT(SalesData[[#This Row],[Date]],"YYYY")&amp;"  Q"&amp;INT(MONTH(SalesData[[#This Row],[Date]]/2)+3)</f>
        <v>2024  Q7</v>
      </c>
    </row>
    <row r="544" spans="1:21"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c r="T544" t="str">
        <f>TEXT(SalesData[[#This Row],[Date]],"MMM-YYY")</f>
        <v>Feb-2024</v>
      </c>
      <c r="U544" t="str">
        <f>TEXT(SalesData[[#This Row],[Date]],"YYYY")&amp;"  Q"&amp;INT(MONTH(SalesData[[#This Row],[Date]]/2)+3)</f>
        <v>2024  Q4</v>
      </c>
    </row>
    <row r="545" spans="1:21"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c r="T545" t="str">
        <f>TEXT(SalesData[[#This Row],[Date]],"MMM-YYY")</f>
        <v>Jan-2024</v>
      </c>
      <c r="U545" t="str">
        <f>TEXT(SalesData[[#This Row],[Date]],"YYYY")&amp;"  Q"&amp;INT(MONTH(SalesData[[#This Row],[Date]]/2)+3)</f>
        <v>2024  Q4</v>
      </c>
    </row>
    <row r="546" spans="1:21"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c r="T546" t="str">
        <f>TEXT(SalesData[[#This Row],[Date]],"MMM-YYY")</f>
        <v>Mar-2024</v>
      </c>
      <c r="U546" t="str">
        <f>TEXT(SalesData[[#This Row],[Date]],"YYYY")&amp;"  Q"&amp;INT(MONTH(SalesData[[#This Row],[Date]]/2)+3)</f>
        <v>2024  Q5</v>
      </c>
    </row>
    <row r="547" spans="1:21"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c r="T547" t="str">
        <f>TEXT(SalesData[[#This Row],[Date]],"MMM-YYY")</f>
        <v>Jun-2023</v>
      </c>
      <c r="U547" t="str">
        <f>TEXT(SalesData[[#This Row],[Date]],"YYYY")&amp;"  Q"&amp;INT(MONTH(SalesData[[#This Row],[Date]]/2)+3)</f>
        <v>2023  Q12</v>
      </c>
    </row>
    <row r="548" spans="1:21"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c r="T548" t="str">
        <f>TEXT(SalesData[[#This Row],[Date]],"MMM-YYY")</f>
        <v>Apr-2023</v>
      </c>
      <c r="U548" t="str">
        <f>TEXT(SalesData[[#This Row],[Date]],"YYYY")&amp;"  Q"&amp;INT(MONTH(SalesData[[#This Row],[Date]]/2)+3)</f>
        <v>2023  Q11</v>
      </c>
    </row>
    <row r="549" spans="1:21"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c r="T549" t="str">
        <f>TEXT(SalesData[[#This Row],[Date]],"MMM-YYY")</f>
        <v>Jun-2023</v>
      </c>
      <c r="U549" t="str">
        <f>TEXT(SalesData[[#This Row],[Date]],"YYYY")&amp;"  Q"&amp;INT(MONTH(SalesData[[#This Row],[Date]]/2)+3)</f>
        <v>2023  Q12</v>
      </c>
    </row>
    <row r="550" spans="1:21"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c r="T550" t="str">
        <f>TEXT(SalesData[[#This Row],[Date]],"MMM-YYY")</f>
        <v>Apr-2024</v>
      </c>
      <c r="U550" t="str">
        <f>TEXT(SalesData[[#This Row],[Date]],"YYYY")&amp;"  Q"&amp;INT(MONTH(SalesData[[#This Row],[Date]]/2)+3)</f>
        <v>2024  Q5</v>
      </c>
    </row>
    <row r="551" spans="1:21"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c r="T551" t="str">
        <f>TEXT(SalesData[[#This Row],[Date]],"MMM-YYY")</f>
        <v>Feb-2025</v>
      </c>
      <c r="U551" t="str">
        <f>TEXT(SalesData[[#This Row],[Date]],"YYYY")&amp;"  Q"&amp;INT(MONTH(SalesData[[#This Row],[Date]]/2)+3)</f>
        <v>2025  Q10</v>
      </c>
    </row>
    <row r="552" spans="1:21"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c r="T552" t="str">
        <f>TEXT(SalesData[[#This Row],[Date]],"MMM-YYY")</f>
        <v>Jan-2023</v>
      </c>
      <c r="U552" t="str">
        <f>TEXT(SalesData[[#This Row],[Date]],"YYYY")&amp;"  Q"&amp;INT(MONTH(SalesData[[#This Row],[Date]]/2)+3)</f>
        <v>2023  Q10</v>
      </c>
    </row>
    <row r="553" spans="1:21"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c r="T553" t="str">
        <f>TEXT(SalesData[[#This Row],[Date]],"MMM-YYY")</f>
        <v>Dec-2023</v>
      </c>
      <c r="U553" t="str">
        <f>TEXT(SalesData[[#This Row],[Date]],"YYYY")&amp;"  Q"&amp;INT(MONTH(SalesData[[#This Row],[Date]]/2)+3)</f>
        <v>2023  Q15</v>
      </c>
    </row>
    <row r="554" spans="1:21"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c r="T554" t="str">
        <f>TEXT(SalesData[[#This Row],[Date]],"MMM-YYY")</f>
        <v>Jul-2024</v>
      </c>
      <c r="U554" t="str">
        <f>TEXT(SalesData[[#This Row],[Date]],"YYYY")&amp;"  Q"&amp;INT(MONTH(SalesData[[#This Row],[Date]]/2)+3)</f>
        <v>2024  Q7</v>
      </c>
    </row>
    <row r="555" spans="1:21"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c r="T555" t="str">
        <f>TEXT(SalesData[[#This Row],[Date]],"MMM-YYY")</f>
        <v>Mar-2024</v>
      </c>
      <c r="U555" t="str">
        <f>TEXT(SalesData[[#This Row],[Date]],"YYYY")&amp;"  Q"&amp;INT(MONTH(SalesData[[#This Row],[Date]]/2)+3)</f>
        <v>2024  Q5</v>
      </c>
    </row>
    <row r="556" spans="1:21"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c r="T556" t="str">
        <f>TEXT(SalesData[[#This Row],[Date]],"MMM-YYY")</f>
        <v>Mar-2024</v>
      </c>
      <c r="U556" t="str">
        <f>TEXT(SalesData[[#This Row],[Date]],"YYYY")&amp;"  Q"&amp;INT(MONTH(SalesData[[#This Row],[Date]]/2)+3)</f>
        <v>2024  Q5</v>
      </c>
    </row>
    <row r="557" spans="1:21"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c r="T557" t="str">
        <f>TEXT(SalesData[[#This Row],[Date]],"MMM-YYY")</f>
        <v>May-2025</v>
      </c>
      <c r="U557" t="str">
        <f>TEXT(SalesData[[#This Row],[Date]],"YYYY")&amp;"  Q"&amp;INT(MONTH(SalesData[[#This Row],[Date]]/2)+3)</f>
        <v>2025  Q12</v>
      </c>
    </row>
    <row r="558" spans="1:21"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c r="T558" t="str">
        <f>TEXT(SalesData[[#This Row],[Date]],"MMM-YYY")</f>
        <v>Jan-2025</v>
      </c>
      <c r="U558" t="str">
        <f>TEXT(SalesData[[#This Row],[Date]],"YYYY")&amp;"  Q"&amp;INT(MONTH(SalesData[[#This Row],[Date]]/2)+3)</f>
        <v>2025  Q10</v>
      </c>
    </row>
    <row r="559" spans="1:21"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c r="T559" t="str">
        <f>TEXT(SalesData[[#This Row],[Date]],"MMM-YYY")</f>
        <v>May-2023</v>
      </c>
      <c r="U559" t="str">
        <f>TEXT(SalesData[[#This Row],[Date]],"YYYY")&amp;"  Q"&amp;INT(MONTH(SalesData[[#This Row],[Date]]/2)+3)</f>
        <v>2023  Q12</v>
      </c>
    </row>
    <row r="560" spans="1:21"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c r="T560" t="str">
        <f>TEXT(SalesData[[#This Row],[Date]],"MMM-YYY")</f>
        <v>Oct-2023</v>
      </c>
      <c r="U560" t="str">
        <f>TEXT(SalesData[[#This Row],[Date]],"YYYY")&amp;"  Q"&amp;INT(MONTH(SalesData[[#This Row],[Date]]/2)+3)</f>
        <v>2023  Q14</v>
      </c>
    </row>
    <row r="561" spans="1:21"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c r="T561" t="str">
        <f>TEXT(SalesData[[#This Row],[Date]],"MMM-YYY")</f>
        <v>Nov-2023</v>
      </c>
      <c r="U561" t="str">
        <f>TEXT(SalesData[[#This Row],[Date]],"YYYY")&amp;"  Q"&amp;INT(MONTH(SalesData[[#This Row],[Date]]/2)+3)</f>
        <v>2023  Q15</v>
      </c>
    </row>
    <row r="562" spans="1:21"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c r="T562" t="str">
        <f>TEXT(SalesData[[#This Row],[Date]],"MMM-YYY")</f>
        <v>Nov-2024</v>
      </c>
      <c r="U562" t="str">
        <f>TEXT(SalesData[[#This Row],[Date]],"YYYY")&amp;"  Q"&amp;INT(MONTH(SalesData[[#This Row],[Date]]/2)+3)</f>
        <v>2024  Q9</v>
      </c>
    </row>
    <row r="563" spans="1:21"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c r="T563" t="str">
        <f>TEXT(SalesData[[#This Row],[Date]],"MMM-YYY")</f>
        <v>Jan-2024</v>
      </c>
      <c r="U563" t="str">
        <f>TEXT(SalesData[[#This Row],[Date]],"YYYY")&amp;"  Q"&amp;INT(MONTH(SalesData[[#This Row],[Date]]/2)+3)</f>
        <v>2024  Q4</v>
      </c>
    </row>
    <row r="564" spans="1:21"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c r="T564" t="str">
        <f>TEXT(SalesData[[#This Row],[Date]],"MMM-YYY")</f>
        <v>Jun-2023</v>
      </c>
      <c r="U564" t="str">
        <f>TEXT(SalesData[[#This Row],[Date]],"YYYY")&amp;"  Q"&amp;INT(MONTH(SalesData[[#This Row],[Date]]/2)+3)</f>
        <v>2023  Q12</v>
      </c>
    </row>
    <row r="565" spans="1:21"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c r="T565" t="str">
        <f>TEXT(SalesData[[#This Row],[Date]],"MMM-YYY")</f>
        <v>Jan-2025</v>
      </c>
      <c r="U565" t="str">
        <f>TEXT(SalesData[[#This Row],[Date]],"YYYY")&amp;"  Q"&amp;INT(MONTH(SalesData[[#This Row],[Date]]/2)+3)</f>
        <v>2025  Q10</v>
      </c>
    </row>
    <row r="566" spans="1:21"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c r="T566" t="str">
        <f>TEXT(SalesData[[#This Row],[Date]],"MMM-YYY")</f>
        <v>Jan-2024</v>
      </c>
      <c r="U566" t="str">
        <f>TEXT(SalesData[[#This Row],[Date]],"YYYY")&amp;"  Q"&amp;INT(MONTH(SalesData[[#This Row],[Date]]/2)+3)</f>
        <v>2024  Q4</v>
      </c>
    </row>
    <row r="567" spans="1:21"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c r="T567" t="str">
        <f>TEXT(SalesData[[#This Row],[Date]],"MMM-YYY")</f>
        <v>Jan-2025</v>
      </c>
      <c r="U567" t="str">
        <f>TEXT(SalesData[[#This Row],[Date]],"YYYY")&amp;"  Q"&amp;INT(MONTH(SalesData[[#This Row],[Date]]/2)+3)</f>
        <v>2025  Q10</v>
      </c>
    </row>
    <row r="568" spans="1:21"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c r="T568" t="str">
        <f>TEXT(SalesData[[#This Row],[Date]],"MMM-YYY")</f>
        <v>Jan-2025</v>
      </c>
      <c r="U568" t="str">
        <f>TEXT(SalesData[[#This Row],[Date]],"YYYY")&amp;"  Q"&amp;INT(MONTH(SalesData[[#This Row],[Date]]/2)+3)</f>
        <v>2025  Q10</v>
      </c>
    </row>
    <row r="569" spans="1:21"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c r="T569" t="str">
        <f>TEXT(SalesData[[#This Row],[Date]],"MMM-YYY")</f>
        <v>Feb-2023</v>
      </c>
      <c r="U569" t="str">
        <f>TEXT(SalesData[[#This Row],[Date]],"YYYY")&amp;"  Q"&amp;INT(MONTH(SalesData[[#This Row],[Date]]/2)+3)</f>
        <v>2023  Q10</v>
      </c>
    </row>
    <row r="570" spans="1:21"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c r="T570" t="str">
        <f>TEXT(SalesData[[#This Row],[Date]],"MMM-YYY")</f>
        <v>Feb-2025</v>
      </c>
      <c r="U570" t="str">
        <f>TEXT(SalesData[[#This Row],[Date]],"YYYY")&amp;"  Q"&amp;INT(MONTH(SalesData[[#This Row],[Date]]/2)+3)</f>
        <v>2025  Q10</v>
      </c>
    </row>
    <row r="571" spans="1:21"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c r="T571" t="str">
        <f>TEXT(SalesData[[#This Row],[Date]],"MMM-YYY")</f>
        <v>Sep-2024</v>
      </c>
      <c r="U571" t="str">
        <f>TEXT(SalesData[[#This Row],[Date]],"YYYY")&amp;"  Q"&amp;INT(MONTH(SalesData[[#This Row],[Date]]/2)+3)</f>
        <v>2024  Q8</v>
      </c>
    </row>
    <row r="572" spans="1:21"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c r="T572" t="str">
        <f>TEXT(SalesData[[#This Row],[Date]],"MMM-YYY")</f>
        <v>Mar-2025</v>
      </c>
      <c r="U572" t="str">
        <f>TEXT(SalesData[[#This Row],[Date]],"YYYY")&amp;"  Q"&amp;INT(MONTH(SalesData[[#This Row],[Date]]/2)+3)</f>
        <v>2025  Q11</v>
      </c>
    </row>
    <row r="573" spans="1:21"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c r="T573" t="str">
        <f>TEXT(SalesData[[#This Row],[Date]],"MMM-YYY")</f>
        <v>Jul-2023</v>
      </c>
      <c r="U573" t="str">
        <f>TEXT(SalesData[[#This Row],[Date]],"YYYY")&amp;"  Q"&amp;INT(MONTH(SalesData[[#This Row],[Date]]/2)+3)</f>
        <v>2023  Q12</v>
      </c>
    </row>
    <row r="574" spans="1:21"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c r="T574" t="str">
        <f>TEXT(SalesData[[#This Row],[Date]],"MMM-YYY")</f>
        <v>Apr-2023</v>
      </c>
      <c r="U574" t="str">
        <f>TEXT(SalesData[[#This Row],[Date]],"YYYY")&amp;"  Q"&amp;INT(MONTH(SalesData[[#This Row],[Date]]/2)+3)</f>
        <v>2023  Q11</v>
      </c>
    </row>
    <row r="575" spans="1:21"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c r="T575" t="str">
        <f>TEXT(SalesData[[#This Row],[Date]],"MMM-YYY")</f>
        <v>Apr-2023</v>
      </c>
      <c r="U575" t="str">
        <f>TEXT(SalesData[[#This Row],[Date]],"YYYY")&amp;"  Q"&amp;INT(MONTH(SalesData[[#This Row],[Date]]/2)+3)</f>
        <v>2023  Q11</v>
      </c>
    </row>
    <row r="576" spans="1:21"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c r="T576" t="str">
        <f>TEXT(SalesData[[#This Row],[Date]],"MMM-YYY")</f>
        <v>Mar-2024</v>
      </c>
      <c r="U576" t="str">
        <f>TEXT(SalesData[[#This Row],[Date]],"YYYY")&amp;"  Q"&amp;INT(MONTH(SalesData[[#This Row],[Date]]/2)+3)</f>
        <v>2024  Q5</v>
      </c>
    </row>
    <row r="577" spans="1:21"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c r="T577" t="str">
        <f>TEXT(SalesData[[#This Row],[Date]],"MMM-YYY")</f>
        <v>Jun-2023</v>
      </c>
      <c r="U577" t="str">
        <f>TEXT(SalesData[[#This Row],[Date]],"YYYY")&amp;"  Q"&amp;INT(MONTH(SalesData[[#This Row],[Date]]/2)+3)</f>
        <v>2023  Q12</v>
      </c>
    </row>
    <row r="578" spans="1:21"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c r="T578" t="str">
        <f>TEXT(SalesData[[#This Row],[Date]],"MMM-YYY")</f>
        <v>Apr-2024</v>
      </c>
      <c r="U578" t="str">
        <f>TEXT(SalesData[[#This Row],[Date]],"YYYY")&amp;"  Q"&amp;INT(MONTH(SalesData[[#This Row],[Date]]/2)+3)</f>
        <v>2024  Q5</v>
      </c>
    </row>
    <row r="579" spans="1:21"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c r="T579" t="str">
        <f>TEXT(SalesData[[#This Row],[Date]],"MMM-YYY")</f>
        <v>Aug-2023</v>
      </c>
      <c r="U579" t="str">
        <f>TEXT(SalesData[[#This Row],[Date]],"YYYY")&amp;"  Q"&amp;INT(MONTH(SalesData[[#This Row],[Date]]/2)+3)</f>
        <v>2023  Q13</v>
      </c>
    </row>
    <row r="580" spans="1:21"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c r="T580" t="str">
        <f>TEXT(SalesData[[#This Row],[Date]],"MMM-YYY")</f>
        <v>Oct-2023</v>
      </c>
      <c r="U580" t="str">
        <f>TEXT(SalesData[[#This Row],[Date]],"YYYY")&amp;"  Q"&amp;INT(MONTH(SalesData[[#This Row],[Date]]/2)+3)</f>
        <v>2023  Q14</v>
      </c>
    </row>
    <row r="581" spans="1:21"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c r="T581" t="str">
        <f>TEXT(SalesData[[#This Row],[Date]],"MMM-YYY")</f>
        <v>Mar-2023</v>
      </c>
      <c r="U581" t="str">
        <f>TEXT(SalesData[[#This Row],[Date]],"YYYY")&amp;"  Q"&amp;INT(MONTH(SalesData[[#This Row],[Date]]/2)+3)</f>
        <v>2023  Q11</v>
      </c>
    </row>
    <row r="582" spans="1:21"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c r="T582" t="str">
        <f>TEXT(SalesData[[#This Row],[Date]],"MMM-YYY")</f>
        <v>Sep-2024</v>
      </c>
      <c r="U582" t="str">
        <f>TEXT(SalesData[[#This Row],[Date]],"YYYY")&amp;"  Q"&amp;INT(MONTH(SalesData[[#This Row],[Date]]/2)+3)</f>
        <v>2024  Q8</v>
      </c>
    </row>
    <row r="583" spans="1:21"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c r="T583" t="str">
        <f>TEXT(SalesData[[#This Row],[Date]],"MMM-YYY")</f>
        <v>Dec-2024</v>
      </c>
      <c r="U583" t="str">
        <f>TEXT(SalesData[[#This Row],[Date]],"YYYY")&amp;"  Q"&amp;INT(MONTH(SalesData[[#This Row],[Date]]/2)+3)</f>
        <v>2024  Q9</v>
      </c>
    </row>
    <row r="584" spans="1:21"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c r="T584" t="str">
        <f>TEXT(SalesData[[#This Row],[Date]],"MMM-YYY")</f>
        <v>Feb-2023</v>
      </c>
      <c r="U584" t="str">
        <f>TEXT(SalesData[[#This Row],[Date]],"YYYY")&amp;"  Q"&amp;INT(MONTH(SalesData[[#This Row],[Date]]/2)+3)</f>
        <v>2023  Q10</v>
      </c>
    </row>
    <row r="585" spans="1:21"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c r="T585" t="str">
        <f>TEXT(SalesData[[#This Row],[Date]],"MMM-YYY")</f>
        <v>Dec-2024</v>
      </c>
      <c r="U585" t="str">
        <f>TEXT(SalesData[[#This Row],[Date]],"YYYY")&amp;"  Q"&amp;INT(MONTH(SalesData[[#This Row],[Date]]/2)+3)</f>
        <v>2024  Q9</v>
      </c>
    </row>
    <row r="586" spans="1:21"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c r="T586" t="str">
        <f>TEXT(SalesData[[#This Row],[Date]],"MMM-YYY")</f>
        <v>Jan-2025</v>
      </c>
      <c r="U586" t="str">
        <f>TEXT(SalesData[[#This Row],[Date]],"YYYY")&amp;"  Q"&amp;INT(MONTH(SalesData[[#This Row],[Date]]/2)+3)</f>
        <v>2025  Q10</v>
      </c>
    </row>
    <row r="587" spans="1:21"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c r="T587" t="str">
        <f>TEXT(SalesData[[#This Row],[Date]],"MMM-YYY")</f>
        <v>Mar-2025</v>
      </c>
      <c r="U587" t="str">
        <f>TEXT(SalesData[[#This Row],[Date]],"YYYY")&amp;"  Q"&amp;INT(MONTH(SalesData[[#This Row],[Date]]/2)+3)</f>
        <v>2025  Q11</v>
      </c>
    </row>
    <row r="588" spans="1:21"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c r="T588" t="str">
        <f>TEXT(SalesData[[#This Row],[Date]],"MMM-YYY")</f>
        <v>Jan-2024</v>
      </c>
      <c r="U588" t="str">
        <f>TEXT(SalesData[[#This Row],[Date]],"YYYY")&amp;"  Q"&amp;INT(MONTH(SalesData[[#This Row],[Date]]/2)+3)</f>
        <v>2024  Q4</v>
      </c>
    </row>
    <row r="589" spans="1:21"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c r="T589" t="str">
        <f>TEXT(SalesData[[#This Row],[Date]],"MMM-YYY")</f>
        <v>Apr-2024</v>
      </c>
      <c r="U589" t="str">
        <f>TEXT(SalesData[[#This Row],[Date]],"YYYY")&amp;"  Q"&amp;INT(MONTH(SalesData[[#This Row],[Date]]/2)+3)</f>
        <v>2024  Q5</v>
      </c>
    </row>
    <row r="590" spans="1:21"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c r="T590" t="str">
        <f>TEXT(SalesData[[#This Row],[Date]],"MMM-YYY")</f>
        <v>Dec-2023</v>
      </c>
      <c r="U590" t="str">
        <f>TEXT(SalesData[[#This Row],[Date]],"YYYY")&amp;"  Q"&amp;INT(MONTH(SalesData[[#This Row],[Date]]/2)+3)</f>
        <v>2023  Q15</v>
      </c>
    </row>
    <row r="591" spans="1:21"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c r="T591" t="str">
        <f>TEXT(SalesData[[#This Row],[Date]],"MMM-YYY")</f>
        <v>Mar-2023</v>
      </c>
      <c r="U591" t="str">
        <f>TEXT(SalesData[[#This Row],[Date]],"YYYY")&amp;"  Q"&amp;INT(MONTH(SalesData[[#This Row],[Date]]/2)+3)</f>
        <v>2023  Q11</v>
      </c>
    </row>
    <row r="592" spans="1:21"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c r="T592" t="str">
        <f>TEXT(SalesData[[#This Row],[Date]],"MMM-YYY")</f>
        <v>Feb-2025</v>
      </c>
      <c r="U592" t="str">
        <f>TEXT(SalesData[[#This Row],[Date]],"YYYY")&amp;"  Q"&amp;INT(MONTH(SalesData[[#This Row],[Date]]/2)+3)</f>
        <v>2025  Q10</v>
      </c>
    </row>
    <row r="593" spans="1:21"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c r="T593" t="str">
        <f>TEXT(SalesData[[#This Row],[Date]],"MMM-YYY")</f>
        <v>Jun-2025</v>
      </c>
      <c r="U593" t="str">
        <f>TEXT(SalesData[[#This Row],[Date]],"YYYY")&amp;"  Q"&amp;INT(MONTH(SalesData[[#This Row],[Date]]/2)+3)</f>
        <v>2025  Q12</v>
      </c>
    </row>
    <row r="594" spans="1:21"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c r="T594" t="str">
        <f>TEXT(SalesData[[#This Row],[Date]],"MMM-YYY")</f>
        <v>Dec-2024</v>
      </c>
      <c r="U594" t="str">
        <f>TEXT(SalesData[[#This Row],[Date]],"YYYY")&amp;"  Q"&amp;INT(MONTH(SalesData[[#This Row],[Date]]/2)+3)</f>
        <v>2024  Q9</v>
      </c>
    </row>
    <row r="595" spans="1:21"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c r="T595" t="str">
        <f>TEXT(SalesData[[#This Row],[Date]],"MMM-YYY")</f>
        <v>May-2024</v>
      </c>
      <c r="U595" t="str">
        <f>TEXT(SalesData[[#This Row],[Date]],"YYYY")&amp;"  Q"&amp;INT(MONTH(SalesData[[#This Row],[Date]]/2)+3)</f>
        <v>2024  Q6</v>
      </c>
    </row>
    <row r="596" spans="1:21"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c r="T596" t="str">
        <f>TEXT(SalesData[[#This Row],[Date]],"MMM-YYY")</f>
        <v>Dec-2023</v>
      </c>
      <c r="U596" t="str">
        <f>TEXT(SalesData[[#This Row],[Date]],"YYYY")&amp;"  Q"&amp;INT(MONTH(SalesData[[#This Row],[Date]]/2)+3)</f>
        <v>2023  Q15</v>
      </c>
    </row>
    <row r="597" spans="1:21"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c r="T597" t="str">
        <f>TEXT(SalesData[[#This Row],[Date]],"MMM-YYY")</f>
        <v>May-2024</v>
      </c>
      <c r="U597" t="str">
        <f>TEXT(SalesData[[#This Row],[Date]],"YYYY")&amp;"  Q"&amp;INT(MONTH(SalesData[[#This Row],[Date]]/2)+3)</f>
        <v>2024  Q6</v>
      </c>
    </row>
    <row r="598" spans="1:21"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c r="T598" t="str">
        <f>TEXT(SalesData[[#This Row],[Date]],"MMM-YYY")</f>
        <v>Oct-2023</v>
      </c>
      <c r="U598" t="str">
        <f>TEXT(SalesData[[#This Row],[Date]],"YYYY")&amp;"  Q"&amp;INT(MONTH(SalesData[[#This Row],[Date]]/2)+3)</f>
        <v>2023  Q14</v>
      </c>
    </row>
    <row r="599" spans="1:21"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c r="T599" t="str">
        <f>TEXT(SalesData[[#This Row],[Date]],"MMM-YYY")</f>
        <v>Jul-2023</v>
      </c>
      <c r="U599" t="str">
        <f>TEXT(SalesData[[#This Row],[Date]],"YYYY")&amp;"  Q"&amp;INT(MONTH(SalesData[[#This Row],[Date]]/2)+3)</f>
        <v>2023  Q13</v>
      </c>
    </row>
    <row r="600" spans="1:21"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c r="T600" t="str">
        <f>TEXT(SalesData[[#This Row],[Date]],"MMM-YYY")</f>
        <v>Jan-2025</v>
      </c>
      <c r="U600" t="str">
        <f>TEXT(SalesData[[#This Row],[Date]],"YYYY")&amp;"  Q"&amp;INT(MONTH(SalesData[[#This Row],[Date]]/2)+3)</f>
        <v>2025  Q10</v>
      </c>
    </row>
    <row r="601" spans="1:21"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c r="T601" t="str">
        <f>TEXT(SalesData[[#This Row],[Date]],"MMM-YYY")</f>
        <v>Feb-2023</v>
      </c>
      <c r="U601" t="str">
        <f>TEXT(SalesData[[#This Row],[Date]],"YYYY")&amp;"  Q"&amp;INT(MONTH(SalesData[[#This Row],[Date]]/2)+3)</f>
        <v>2023  Q10</v>
      </c>
    </row>
    <row r="602" spans="1:21"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c r="T602" t="str">
        <f>TEXT(SalesData[[#This Row],[Date]],"MMM-YYY")</f>
        <v>Sep-2023</v>
      </c>
      <c r="U602" t="str">
        <f>TEXT(SalesData[[#This Row],[Date]],"YYYY")&amp;"  Q"&amp;INT(MONTH(SalesData[[#This Row],[Date]]/2)+3)</f>
        <v>2023  Q13</v>
      </c>
    </row>
    <row r="603" spans="1:21"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c r="T603" t="str">
        <f>TEXT(SalesData[[#This Row],[Date]],"MMM-YYY")</f>
        <v>Dec-2024</v>
      </c>
      <c r="U603" t="str">
        <f>TEXT(SalesData[[#This Row],[Date]],"YYYY")&amp;"  Q"&amp;INT(MONTH(SalesData[[#This Row],[Date]]/2)+3)</f>
        <v>2024  Q9</v>
      </c>
    </row>
    <row r="604" spans="1:21"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c r="T604" t="str">
        <f>TEXT(SalesData[[#This Row],[Date]],"MMM-YYY")</f>
        <v>Oct-2023</v>
      </c>
      <c r="U604" t="str">
        <f>TEXT(SalesData[[#This Row],[Date]],"YYYY")&amp;"  Q"&amp;INT(MONTH(SalesData[[#This Row],[Date]]/2)+3)</f>
        <v>2023  Q14</v>
      </c>
    </row>
    <row r="605" spans="1:21"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c r="T605" t="str">
        <f>TEXT(SalesData[[#This Row],[Date]],"MMM-YYY")</f>
        <v>Oct-2024</v>
      </c>
      <c r="U605" t="str">
        <f>TEXT(SalesData[[#This Row],[Date]],"YYYY")&amp;"  Q"&amp;INT(MONTH(SalesData[[#This Row],[Date]]/2)+3)</f>
        <v>2024  Q8</v>
      </c>
    </row>
    <row r="606" spans="1:21"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c r="T606" t="str">
        <f>TEXT(SalesData[[#This Row],[Date]],"MMM-YYY")</f>
        <v>Apr-2024</v>
      </c>
      <c r="U606" t="str">
        <f>TEXT(SalesData[[#This Row],[Date]],"YYYY")&amp;"  Q"&amp;INT(MONTH(SalesData[[#This Row],[Date]]/2)+3)</f>
        <v>2024  Q5</v>
      </c>
    </row>
    <row r="607" spans="1:21"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c r="T607" t="str">
        <f>TEXT(SalesData[[#This Row],[Date]],"MMM-YYY")</f>
        <v>Feb-2024</v>
      </c>
      <c r="U607" t="str">
        <f>TEXT(SalesData[[#This Row],[Date]],"YYYY")&amp;"  Q"&amp;INT(MONTH(SalesData[[#This Row],[Date]]/2)+3)</f>
        <v>2024  Q4</v>
      </c>
    </row>
    <row r="608" spans="1:21"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c r="T608" t="str">
        <f>TEXT(SalesData[[#This Row],[Date]],"MMM-YYY")</f>
        <v>Feb-2023</v>
      </c>
      <c r="U608" t="str">
        <f>TEXT(SalesData[[#This Row],[Date]],"YYYY")&amp;"  Q"&amp;INT(MONTH(SalesData[[#This Row],[Date]]/2)+3)</f>
        <v>2023  Q10</v>
      </c>
    </row>
    <row r="609" spans="1:21"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c r="T609" t="str">
        <f>TEXT(SalesData[[#This Row],[Date]],"MMM-YYY")</f>
        <v>Jun-2023</v>
      </c>
      <c r="U609" t="str">
        <f>TEXT(SalesData[[#This Row],[Date]],"YYYY")&amp;"  Q"&amp;INT(MONTH(SalesData[[#This Row],[Date]]/2)+3)</f>
        <v>2023  Q12</v>
      </c>
    </row>
    <row r="610" spans="1:21"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c r="T610" t="str">
        <f>TEXT(SalesData[[#This Row],[Date]],"MMM-YYY")</f>
        <v>Jul-2024</v>
      </c>
      <c r="U610" t="str">
        <f>TEXT(SalesData[[#This Row],[Date]],"YYYY")&amp;"  Q"&amp;INT(MONTH(SalesData[[#This Row],[Date]]/2)+3)</f>
        <v>2024  Q7</v>
      </c>
    </row>
    <row r="611" spans="1:21"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c r="T611" t="str">
        <f>TEXT(SalesData[[#This Row],[Date]],"MMM-YYY")</f>
        <v>Jan-2024</v>
      </c>
      <c r="U611" t="str">
        <f>TEXT(SalesData[[#This Row],[Date]],"YYYY")&amp;"  Q"&amp;INT(MONTH(SalesData[[#This Row],[Date]]/2)+3)</f>
        <v>2024  Q4</v>
      </c>
    </row>
    <row r="612" spans="1:21"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c r="T612" t="str">
        <f>TEXT(SalesData[[#This Row],[Date]],"MMM-YYY")</f>
        <v>Jan-2024</v>
      </c>
      <c r="U612" t="str">
        <f>TEXT(SalesData[[#This Row],[Date]],"YYYY")&amp;"  Q"&amp;INT(MONTH(SalesData[[#This Row],[Date]]/2)+3)</f>
        <v>2024  Q4</v>
      </c>
    </row>
    <row r="613" spans="1:21"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c r="T613" t="str">
        <f>TEXT(SalesData[[#This Row],[Date]],"MMM-YYY")</f>
        <v>Aug-2024</v>
      </c>
      <c r="U613" t="str">
        <f>TEXT(SalesData[[#This Row],[Date]],"YYYY")&amp;"  Q"&amp;INT(MONTH(SalesData[[#This Row],[Date]]/2)+3)</f>
        <v>2024  Q7</v>
      </c>
    </row>
    <row r="614" spans="1:21"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c r="T614" t="str">
        <f>TEXT(SalesData[[#This Row],[Date]],"MMM-YYY")</f>
        <v>Apr-2025</v>
      </c>
      <c r="U614" t="str">
        <f>TEXT(SalesData[[#This Row],[Date]],"YYYY")&amp;"  Q"&amp;INT(MONTH(SalesData[[#This Row],[Date]]/2)+3)</f>
        <v>2025  Q11</v>
      </c>
    </row>
    <row r="615" spans="1:21"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c r="T615" t="str">
        <f>TEXT(SalesData[[#This Row],[Date]],"MMM-YYY")</f>
        <v>Feb-2023</v>
      </c>
      <c r="U615" t="str">
        <f>TEXT(SalesData[[#This Row],[Date]],"YYYY")&amp;"  Q"&amp;INT(MONTH(SalesData[[#This Row],[Date]]/2)+3)</f>
        <v>2023  Q10</v>
      </c>
    </row>
    <row r="616" spans="1:21"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c r="T616" t="str">
        <f>TEXT(SalesData[[#This Row],[Date]],"MMM-YYY")</f>
        <v>Jan-2023</v>
      </c>
      <c r="U616" t="str">
        <f>TEXT(SalesData[[#This Row],[Date]],"YYYY")&amp;"  Q"&amp;INT(MONTH(SalesData[[#This Row],[Date]]/2)+3)</f>
        <v>2023  Q10</v>
      </c>
    </row>
    <row r="617" spans="1:21"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c r="T617" t="str">
        <f>TEXT(SalesData[[#This Row],[Date]],"MMM-YYY")</f>
        <v>Oct-2023</v>
      </c>
      <c r="U617" t="str">
        <f>TEXT(SalesData[[#This Row],[Date]],"YYYY")&amp;"  Q"&amp;INT(MONTH(SalesData[[#This Row],[Date]]/2)+3)</f>
        <v>2023  Q14</v>
      </c>
    </row>
    <row r="618" spans="1:21"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c r="T618" t="str">
        <f>TEXT(SalesData[[#This Row],[Date]],"MMM-YYY")</f>
        <v>Jan-2024</v>
      </c>
      <c r="U618" t="str">
        <f>TEXT(SalesData[[#This Row],[Date]],"YYYY")&amp;"  Q"&amp;INT(MONTH(SalesData[[#This Row],[Date]]/2)+3)</f>
        <v>2024  Q15</v>
      </c>
    </row>
    <row r="619" spans="1:21"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c r="T619" t="str">
        <f>TEXT(SalesData[[#This Row],[Date]],"MMM-YYY")</f>
        <v>Sep-2024</v>
      </c>
      <c r="U619" t="str">
        <f>TEXT(SalesData[[#This Row],[Date]],"YYYY")&amp;"  Q"&amp;INT(MONTH(SalesData[[#This Row],[Date]]/2)+3)</f>
        <v>2024  Q8</v>
      </c>
    </row>
    <row r="620" spans="1:21"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c r="T620" t="str">
        <f>TEXT(SalesData[[#This Row],[Date]],"MMM-YYY")</f>
        <v>May-2024</v>
      </c>
      <c r="U620" t="str">
        <f>TEXT(SalesData[[#This Row],[Date]],"YYYY")&amp;"  Q"&amp;INT(MONTH(SalesData[[#This Row],[Date]]/2)+3)</f>
        <v>2024  Q6</v>
      </c>
    </row>
    <row r="621" spans="1:21"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c r="T621" t="str">
        <f>TEXT(SalesData[[#This Row],[Date]],"MMM-YYY")</f>
        <v>Jun-2025</v>
      </c>
      <c r="U621" t="str">
        <f>TEXT(SalesData[[#This Row],[Date]],"YYYY")&amp;"  Q"&amp;INT(MONTH(SalesData[[#This Row],[Date]]/2)+3)</f>
        <v>2025  Q12</v>
      </c>
    </row>
    <row r="622" spans="1:21"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c r="T622" t="str">
        <f>TEXT(SalesData[[#This Row],[Date]],"MMM-YYY")</f>
        <v>May-2024</v>
      </c>
      <c r="U622" t="str">
        <f>TEXT(SalesData[[#This Row],[Date]],"YYYY")&amp;"  Q"&amp;INT(MONTH(SalesData[[#This Row],[Date]]/2)+3)</f>
        <v>2024  Q6</v>
      </c>
    </row>
    <row r="623" spans="1:21"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c r="T623" t="str">
        <f>TEXT(SalesData[[#This Row],[Date]],"MMM-YYY")</f>
        <v>Feb-2024</v>
      </c>
      <c r="U623" t="str">
        <f>TEXT(SalesData[[#This Row],[Date]],"YYYY")&amp;"  Q"&amp;INT(MONTH(SalesData[[#This Row],[Date]]/2)+3)</f>
        <v>2024  Q4</v>
      </c>
    </row>
    <row r="624" spans="1:21"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c r="T624" t="str">
        <f>TEXT(SalesData[[#This Row],[Date]],"MMM-YYY")</f>
        <v>May-2025</v>
      </c>
      <c r="U624" t="str">
        <f>TEXT(SalesData[[#This Row],[Date]],"YYYY")&amp;"  Q"&amp;INT(MONTH(SalesData[[#This Row],[Date]]/2)+3)</f>
        <v>2025  Q12</v>
      </c>
    </row>
    <row r="625" spans="1:21"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c r="T625" t="str">
        <f>TEXT(SalesData[[#This Row],[Date]],"MMM-YYY")</f>
        <v>Dec-2024</v>
      </c>
      <c r="U625" t="str">
        <f>TEXT(SalesData[[#This Row],[Date]],"YYYY")&amp;"  Q"&amp;INT(MONTH(SalesData[[#This Row],[Date]]/2)+3)</f>
        <v>2024  Q9</v>
      </c>
    </row>
    <row r="626" spans="1:21"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c r="T626" t="str">
        <f>TEXT(SalesData[[#This Row],[Date]],"MMM-YYY")</f>
        <v>Jul-2024</v>
      </c>
      <c r="U626" t="str">
        <f>TEXT(SalesData[[#This Row],[Date]],"YYYY")&amp;"  Q"&amp;INT(MONTH(SalesData[[#This Row],[Date]]/2)+3)</f>
        <v>2024  Q7</v>
      </c>
    </row>
    <row r="627" spans="1:21"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c r="T627" t="str">
        <f>TEXT(SalesData[[#This Row],[Date]],"MMM-YYY")</f>
        <v>Jun-2023</v>
      </c>
      <c r="U627" t="str">
        <f>TEXT(SalesData[[#This Row],[Date]],"YYYY")&amp;"  Q"&amp;INT(MONTH(SalesData[[#This Row],[Date]]/2)+3)</f>
        <v>2023  Q12</v>
      </c>
    </row>
    <row r="628" spans="1:21"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c r="T628" t="str">
        <f>TEXT(SalesData[[#This Row],[Date]],"MMM-YYY")</f>
        <v>Jul-2024</v>
      </c>
      <c r="U628" t="str">
        <f>TEXT(SalesData[[#This Row],[Date]],"YYYY")&amp;"  Q"&amp;INT(MONTH(SalesData[[#This Row],[Date]]/2)+3)</f>
        <v>2024  Q7</v>
      </c>
    </row>
    <row r="629" spans="1:21"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c r="T629" t="str">
        <f>TEXT(SalesData[[#This Row],[Date]],"MMM-YYY")</f>
        <v>Jan-2023</v>
      </c>
      <c r="U629" t="str">
        <f>TEXT(SalesData[[#This Row],[Date]],"YYYY")&amp;"  Q"&amp;INT(MONTH(SalesData[[#This Row],[Date]]/2)+3)</f>
        <v>2023  Q10</v>
      </c>
    </row>
    <row r="630" spans="1:21"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c r="T630" t="str">
        <f>TEXT(SalesData[[#This Row],[Date]],"MMM-YYY")</f>
        <v>Feb-2024</v>
      </c>
      <c r="U630" t="str">
        <f>TEXT(SalesData[[#This Row],[Date]],"YYYY")&amp;"  Q"&amp;INT(MONTH(SalesData[[#This Row],[Date]]/2)+3)</f>
        <v>2024  Q4</v>
      </c>
    </row>
    <row r="631" spans="1:21"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c r="T631" t="str">
        <f>TEXT(SalesData[[#This Row],[Date]],"MMM-YYY")</f>
        <v>Dec-2023</v>
      </c>
      <c r="U631" t="str">
        <f>TEXT(SalesData[[#This Row],[Date]],"YYYY")&amp;"  Q"&amp;INT(MONTH(SalesData[[#This Row],[Date]]/2)+3)</f>
        <v>2023  Q15</v>
      </c>
    </row>
    <row r="632" spans="1:21"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c r="T632" t="str">
        <f>TEXT(SalesData[[#This Row],[Date]],"MMM-YYY")</f>
        <v>Feb-2025</v>
      </c>
      <c r="U632" t="str">
        <f>TEXT(SalesData[[#This Row],[Date]],"YYYY")&amp;"  Q"&amp;INT(MONTH(SalesData[[#This Row],[Date]]/2)+3)</f>
        <v>2025  Q10</v>
      </c>
    </row>
    <row r="633" spans="1:21"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c r="T633" t="str">
        <f>TEXT(SalesData[[#This Row],[Date]],"MMM-YYY")</f>
        <v>Mar-2025</v>
      </c>
      <c r="U633" t="str">
        <f>TEXT(SalesData[[#This Row],[Date]],"YYYY")&amp;"  Q"&amp;INT(MONTH(SalesData[[#This Row],[Date]]/2)+3)</f>
        <v>2025  Q11</v>
      </c>
    </row>
    <row r="634" spans="1:21"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c r="T634" t="str">
        <f>TEXT(SalesData[[#This Row],[Date]],"MMM-YYY")</f>
        <v>Sep-2023</v>
      </c>
      <c r="U634" t="str">
        <f>TEXT(SalesData[[#This Row],[Date]],"YYYY")&amp;"  Q"&amp;INT(MONTH(SalesData[[#This Row],[Date]]/2)+3)</f>
        <v>2023  Q14</v>
      </c>
    </row>
    <row r="635" spans="1:21"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c r="T635" t="str">
        <f>TEXT(SalesData[[#This Row],[Date]],"MMM-YYY")</f>
        <v>Dec-2023</v>
      </c>
      <c r="U635" t="str">
        <f>TEXT(SalesData[[#This Row],[Date]],"YYYY")&amp;"  Q"&amp;INT(MONTH(SalesData[[#This Row],[Date]]/2)+3)</f>
        <v>2023  Q15</v>
      </c>
    </row>
    <row r="636" spans="1:21"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c r="T636" t="str">
        <f>TEXT(SalesData[[#This Row],[Date]],"MMM-YYY")</f>
        <v>May-2025</v>
      </c>
      <c r="U636" t="str">
        <f>TEXT(SalesData[[#This Row],[Date]],"YYYY")&amp;"  Q"&amp;INT(MONTH(SalesData[[#This Row],[Date]]/2)+3)</f>
        <v>2025  Q12</v>
      </c>
    </row>
    <row r="637" spans="1:21"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c r="T637" t="str">
        <f>TEXT(SalesData[[#This Row],[Date]],"MMM-YYY")</f>
        <v>Jan-2025</v>
      </c>
      <c r="U637" t="str">
        <f>TEXT(SalesData[[#This Row],[Date]],"YYYY")&amp;"  Q"&amp;INT(MONTH(SalesData[[#This Row],[Date]]/2)+3)</f>
        <v>2025  Q10</v>
      </c>
    </row>
    <row r="638" spans="1:21"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c r="T638" t="str">
        <f>TEXT(SalesData[[#This Row],[Date]],"MMM-YYY")</f>
        <v>Apr-2025</v>
      </c>
      <c r="U638" t="str">
        <f>TEXT(SalesData[[#This Row],[Date]],"YYYY")&amp;"  Q"&amp;INT(MONTH(SalesData[[#This Row],[Date]]/2)+3)</f>
        <v>2025  Q11</v>
      </c>
    </row>
    <row r="639" spans="1:21"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c r="T639" t="str">
        <f>TEXT(SalesData[[#This Row],[Date]],"MMM-YYY")</f>
        <v>Dec-2023</v>
      </c>
      <c r="U639" t="str">
        <f>TEXT(SalesData[[#This Row],[Date]],"YYYY")&amp;"  Q"&amp;INT(MONTH(SalesData[[#This Row],[Date]]/2)+3)</f>
        <v>2023  Q15</v>
      </c>
    </row>
    <row r="640" spans="1:21"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c r="T640" t="str">
        <f>TEXT(SalesData[[#This Row],[Date]],"MMM-YYY")</f>
        <v>Feb-2024</v>
      </c>
      <c r="U640" t="str">
        <f>TEXT(SalesData[[#This Row],[Date]],"YYYY")&amp;"  Q"&amp;INT(MONTH(SalesData[[#This Row],[Date]]/2)+3)</f>
        <v>2024  Q4</v>
      </c>
    </row>
    <row r="641" spans="1:21"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c r="T641" t="str">
        <f>TEXT(SalesData[[#This Row],[Date]],"MMM-YYY")</f>
        <v>Apr-2024</v>
      </c>
      <c r="U641" t="str">
        <f>TEXT(SalesData[[#This Row],[Date]],"YYYY")&amp;"  Q"&amp;INT(MONTH(SalesData[[#This Row],[Date]]/2)+3)</f>
        <v>2024  Q5</v>
      </c>
    </row>
    <row r="642" spans="1:21"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c r="T642" t="str">
        <f>TEXT(SalesData[[#This Row],[Date]],"MMM-YYY")</f>
        <v>Sep-2023</v>
      </c>
      <c r="U642" t="str">
        <f>TEXT(SalesData[[#This Row],[Date]],"YYYY")&amp;"  Q"&amp;INT(MONTH(SalesData[[#This Row],[Date]]/2)+3)</f>
        <v>2023  Q14</v>
      </c>
    </row>
    <row r="643" spans="1:21"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c r="T643" t="str">
        <f>TEXT(SalesData[[#This Row],[Date]],"MMM-YYY")</f>
        <v>Jun-2025</v>
      </c>
      <c r="U643" t="str">
        <f>TEXT(SalesData[[#This Row],[Date]],"YYYY")&amp;"  Q"&amp;INT(MONTH(SalesData[[#This Row],[Date]]/2)+3)</f>
        <v>2025  Q12</v>
      </c>
    </row>
    <row r="644" spans="1:21"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c r="T644" t="str">
        <f>TEXT(SalesData[[#This Row],[Date]],"MMM-YYY")</f>
        <v>Jun-2025</v>
      </c>
      <c r="U644" t="str">
        <f>TEXT(SalesData[[#This Row],[Date]],"YYYY")&amp;"  Q"&amp;INT(MONTH(SalesData[[#This Row],[Date]]/2)+3)</f>
        <v>2025  Q12</v>
      </c>
    </row>
    <row r="645" spans="1:21"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c r="T645" t="str">
        <f>TEXT(SalesData[[#This Row],[Date]],"MMM-YYY")</f>
        <v>Dec-2024</v>
      </c>
      <c r="U645" t="str">
        <f>TEXT(SalesData[[#This Row],[Date]],"YYYY")&amp;"  Q"&amp;INT(MONTH(SalesData[[#This Row],[Date]]/2)+3)</f>
        <v>2024  Q9</v>
      </c>
    </row>
    <row r="646" spans="1:21"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c r="T646" t="str">
        <f>TEXT(SalesData[[#This Row],[Date]],"MMM-YYY")</f>
        <v>Aug-2023</v>
      </c>
      <c r="U646" t="str">
        <f>TEXT(SalesData[[#This Row],[Date]],"YYYY")&amp;"  Q"&amp;INT(MONTH(SalesData[[#This Row],[Date]]/2)+3)</f>
        <v>2023  Q13</v>
      </c>
    </row>
    <row r="647" spans="1:21"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c r="T647" t="str">
        <f>TEXT(SalesData[[#This Row],[Date]],"MMM-YYY")</f>
        <v>Jan-2023</v>
      </c>
      <c r="U647" t="str">
        <f>TEXT(SalesData[[#This Row],[Date]],"YYYY")&amp;"  Q"&amp;INT(MONTH(SalesData[[#This Row],[Date]]/2)+3)</f>
        <v>2023  Q10</v>
      </c>
    </row>
    <row r="648" spans="1:21"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c r="T648" t="str">
        <f>TEXT(SalesData[[#This Row],[Date]],"MMM-YYY")</f>
        <v>Apr-2025</v>
      </c>
      <c r="U648" t="str">
        <f>TEXT(SalesData[[#This Row],[Date]],"YYYY")&amp;"  Q"&amp;INT(MONTH(SalesData[[#This Row],[Date]]/2)+3)</f>
        <v>2025  Q11</v>
      </c>
    </row>
    <row r="649" spans="1:21"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c r="T649" t="str">
        <f>TEXT(SalesData[[#This Row],[Date]],"MMM-YYY")</f>
        <v>Sep-2023</v>
      </c>
      <c r="U649" t="str">
        <f>TEXT(SalesData[[#This Row],[Date]],"YYYY")&amp;"  Q"&amp;INT(MONTH(SalesData[[#This Row],[Date]]/2)+3)</f>
        <v>2023  Q14</v>
      </c>
    </row>
    <row r="650" spans="1:21"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c r="T650" t="str">
        <f>TEXT(SalesData[[#This Row],[Date]],"MMM-YYY")</f>
        <v>Jan-2023</v>
      </c>
      <c r="U650" t="str">
        <f>TEXT(SalesData[[#This Row],[Date]],"YYYY")&amp;"  Q"&amp;INT(MONTH(SalesData[[#This Row],[Date]]/2)+3)</f>
        <v>2023  Q10</v>
      </c>
    </row>
    <row r="651" spans="1:21"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c r="T651" t="str">
        <f>TEXT(SalesData[[#This Row],[Date]],"MMM-YYY")</f>
        <v>Apr-2024</v>
      </c>
      <c r="U651" t="str">
        <f>TEXT(SalesData[[#This Row],[Date]],"YYYY")&amp;"  Q"&amp;INT(MONTH(SalesData[[#This Row],[Date]]/2)+3)</f>
        <v>2024  Q5</v>
      </c>
    </row>
    <row r="652" spans="1:21"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c r="T652" t="str">
        <f>TEXT(SalesData[[#This Row],[Date]],"MMM-YYY")</f>
        <v>Jun-2023</v>
      </c>
      <c r="U652" t="str">
        <f>TEXT(SalesData[[#This Row],[Date]],"YYYY")&amp;"  Q"&amp;INT(MONTH(SalesData[[#This Row],[Date]]/2)+3)</f>
        <v>2023  Q12</v>
      </c>
    </row>
    <row r="653" spans="1:21"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c r="T653" t="str">
        <f>TEXT(SalesData[[#This Row],[Date]],"MMM-YYY")</f>
        <v>Jan-2023</v>
      </c>
      <c r="U653" t="str">
        <f>TEXT(SalesData[[#This Row],[Date]],"YYYY")&amp;"  Q"&amp;INT(MONTH(SalesData[[#This Row],[Date]]/2)+3)</f>
        <v>2023  Q10</v>
      </c>
    </row>
    <row r="654" spans="1:21"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c r="T654" t="str">
        <f>TEXT(SalesData[[#This Row],[Date]],"MMM-YYY")</f>
        <v>Dec-2023</v>
      </c>
      <c r="U654" t="str">
        <f>TEXT(SalesData[[#This Row],[Date]],"YYYY")&amp;"  Q"&amp;INT(MONTH(SalesData[[#This Row],[Date]]/2)+3)</f>
        <v>2023  Q15</v>
      </c>
    </row>
    <row r="655" spans="1:21"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c r="T655" t="str">
        <f>TEXT(SalesData[[#This Row],[Date]],"MMM-YYY")</f>
        <v>Jan-2023</v>
      </c>
      <c r="U655" t="str">
        <f>TEXT(SalesData[[#This Row],[Date]],"YYYY")&amp;"  Q"&amp;INT(MONTH(SalesData[[#This Row],[Date]]/2)+3)</f>
        <v>2023  Q10</v>
      </c>
    </row>
    <row r="656" spans="1:21"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c r="T656" t="str">
        <f>TEXT(SalesData[[#This Row],[Date]],"MMM-YYY")</f>
        <v>Jul-2024</v>
      </c>
      <c r="U656" t="str">
        <f>TEXT(SalesData[[#This Row],[Date]],"YYYY")&amp;"  Q"&amp;INT(MONTH(SalesData[[#This Row],[Date]]/2)+3)</f>
        <v>2024  Q7</v>
      </c>
    </row>
    <row r="657" spans="1:21"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c r="T657" t="str">
        <f>TEXT(SalesData[[#This Row],[Date]],"MMM-YYY")</f>
        <v>Jan-2024</v>
      </c>
      <c r="U657" t="str">
        <f>TEXT(SalesData[[#This Row],[Date]],"YYYY")&amp;"  Q"&amp;INT(MONTH(SalesData[[#This Row],[Date]]/2)+3)</f>
        <v>2024  Q4</v>
      </c>
    </row>
    <row r="658" spans="1:21"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c r="T658" t="str">
        <f>TEXT(SalesData[[#This Row],[Date]],"MMM-YYY")</f>
        <v>Jan-2024</v>
      </c>
      <c r="U658" t="str">
        <f>TEXT(SalesData[[#This Row],[Date]],"YYYY")&amp;"  Q"&amp;INT(MONTH(SalesData[[#This Row],[Date]]/2)+3)</f>
        <v>2024  Q4</v>
      </c>
    </row>
    <row r="659" spans="1:21"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c r="T659" t="str">
        <f>TEXT(SalesData[[#This Row],[Date]],"MMM-YYY")</f>
        <v>Feb-2023</v>
      </c>
      <c r="U659" t="str">
        <f>TEXT(SalesData[[#This Row],[Date]],"YYYY")&amp;"  Q"&amp;INT(MONTH(SalesData[[#This Row],[Date]]/2)+3)</f>
        <v>2023  Q10</v>
      </c>
    </row>
    <row r="660" spans="1:21"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c r="T660" t="str">
        <f>TEXT(SalesData[[#This Row],[Date]],"MMM-YYY")</f>
        <v>Jun-2024</v>
      </c>
      <c r="U660" t="str">
        <f>TEXT(SalesData[[#This Row],[Date]],"YYYY")&amp;"  Q"&amp;INT(MONTH(SalesData[[#This Row],[Date]]/2)+3)</f>
        <v>2024  Q6</v>
      </c>
    </row>
    <row r="661" spans="1:21"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c r="T661" t="str">
        <f>TEXT(SalesData[[#This Row],[Date]],"MMM-YYY")</f>
        <v>Feb-2023</v>
      </c>
      <c r="U661" t="str">
        <f>TEXT(SalesData[[#This Row],[Date]],"YYYY")&amp;"  Q"&amp;INT(MONTH(SalesData[[#This Row],[Date]]/2)+3)</f>
        <v>2023  Q10</v>
      </c>
    </row>
    <row r="662" spans="1:21"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c r="T662" t="str">
        <f>TEXT(SalesData[[#This Row],[Date]],"MMM-YYY")</f>
        <v>Aug-2023</v>
      </c>
      <c r="U662" t="str">
        <f>TEXT(SalesData[[#This Row],[Date]],"YYYY")&amp;"  Q"&amp;INT(MONTH(SalesData[[#This Row],[Date]]/2)+3)</f>
        <v>2023  Q13</v>
      </c>
    </row>
    <row r="663" spans="1:21"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c r="T663" t="str">
        <f>TEXT(SalesData[[#This Row],[Date]],"MMM-YYY")</f>
        <v>Nov-2023</v>
      </c>
      <c r="U663" t="str">
        <f>TEXT(SalesData[[#This Row],[Date]],"YYYY")&amp;"  Q"&amp;INT(MONTH(SalesData[[#This Row],[Date]]/2)+3)</f>
        <v>2023  Q15</v>
      </c>
    </row>
    <row r="664" spans="1:21"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c r="T664" t="str">
        <f>TEXT(SalesData[[#This Row],[Date]],"MMM-YYY")</f>
        <v>Apr-2024</v>
      </c>
      <c r="U664" t="str">
        <f>TEXT(SalesData[[#This Row],[Date]],"YYYY")&amp;"  Q"&amp;INT(MONTH(SalesData[[#This Row],[Date]]/2)+3)</f>
        <v>2024  Q5</v>
      </c>
    </row>
    <row r="665" spans="1:21"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c r="T665" t="str">
        <f>TEXT(SalesData[[#This Row],[Date]],"MMM-YYY")</f>
        <v>Oct-2024</v>
      </c>
      <c r="U665" t="str">
        <f>TEXT(SalesData[[#This Row],[Date]],"YYYY")&amp;"  Q"&amp;INT(MONTH(SalesData[[#This Row],[Date]]/2)+3)</f>
        <v>2024  Q8</v>
      </c>
    </row>
    <row r="666" spans="1:21"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c r="T666" t="str">
        <f>TEXT(SalesData[[#This Row],[Date]],"MMM-YYY")</f>
        <v>Jan-2023</v>
      </c>
      <c r="U666" t="str">
        <f>TEXT(SalesData[[#This Row],[Date]],"YYYY")&amp;"  Q"&amp;INT(MONTH(SalesData[[#This Row],[Date]]/2)+3)</f>
        <v>2023  Q10</v>
      </c>
    </row>
    <row r="667" spans="1:21"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c r="T667" t="str">
        <f>TEXT(SalesData[[#This Row],[Date]],"MMM-YYY")</f>
        <v>Dec-2023</v>
      </c>
      <c r="U667" t="str">
        <f>TEXT(SalesData[[#This Row],[Date]],"YYYY")&amp;"  Q"&amp;INT(MONTH(SalesData[[#This Row],[Date]]/2)+3)</f>
        <v>2023  Q15</v>
      </c>
    </row>
    <row r="668" spans="1:21"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c r="T668" t="str">
        <f>TEXT(SalesData[[#This Row],[Date]],"MMM-YYY")</f>
        <v>May-2024</v>
      </c>
      <c r="U668" t="str">
        <f>TEXT(SalesData[[#This Row],[Date]],"YYYY")&amp;"  Q"&amp;INT(MONTH(SalesData[[#This Row],[Date]]/2)+3)</f>
        <v>2024  Q6</v>
      </c>
    </row>
    <row r="669" spans="1:21"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c r="T669" t="str">
        <f>TEXT(SalesData[[#This Row],[Date]],"MMM-YYY")</f>
        <v>Nov-2023</v>
      </c>
      <c r="U669" t="str">
        <f>TEXT(SalesData[[#This Row],[Date]],"YYYY")&amp;"  Q"&amp;INT(MONTH(SalesData[[#This Row],[Date]]/2)+3)</f>
        <v>2023  Q15</v>
      </c>
    </row>
    <row r="670" spans="1:21"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c r="T670" t="str">
        <f>TEXT(SalesData[[#This Row],[Date]],"MMM-YYY")</f>
        <v>Dec-2023</v>
      </c>
      <c r="U670" t="str">
        <f>TEXT(SalesData[[#This Row],[Date]],"YYYY")&amp;"  Q"&amp;INT(MONTH(SalesData[[#This Row],[Date]]/2)+3)</f>
        <v>2023  Q15</v>
      </c>
    </row>
    <row r="671" spans="1:21"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c r="T671" t="str">
        <f>TEXT(SalesData[[#This Row],[Date]],"MMM-YYY")</f>
        <v>Feb-2024</v>
      </c>
      <c r="U671" t="str">
        <f>TEXT(SalesData[[#This Row],[Date]],"YYYY")&amp;"  Q"&amp;INT(MONTH(SalesData[[#This Row],[Date]]/2)+3)</f>
        <v>2024  Q4</v>
      </c>
    </row>
    <row r="672" spans="1:21"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c r="T672" t="str">
        <f>TEXT(SalesData[[#This Row],[Date]],"MMM-YYY")</f>
        <v>Nov-2024</v>
      </c>
      <c r="U672" t="str">
        <f>TEXT(SalesData[[#This Row],[Date]],"YYYY")&amp;"  Q"&amp;INT(MONTH(SalesData[[#This Row],[Date]]/2)+3)</f>
        <v>2024  Q9</v>
      </c>
    </row>
    <row r="673" spans="1:21"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c r="T673" t="str">
        <f>TEXT(SalesData[[#This Row],[Date]],"MMM-YYY")</f>
        <v>Mar-2024</v>
      </c>
      <c r="U673" t="str">
        <f>TEXT(SalesData[[#This Row],[Date]],"YYYY")&amp;"  Q"&amp;INT(MONTH(SalesData[[#This Row],[Date]]/2)+3)</f>
        <v>2024  Q5</v>
      </c>
    </row>
    <row r="674" spans="1:21"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c r="T674" t="str">
        <f>TEXT(SalesData[[#This Row],[Date]],"MMM-YYY")</f>
        <v>Feb-2025</v>
      </c>
      <c r="U674" t="str">
        <f>TEXT(SalesData[[#This Row],[Date]],"YYYY")&amp;"  Q"&amp;INT(MONTH(SalesData[[#This Row],[Date]]/2)+3)</f>
        <v>2025  Q10</v>
      </c>
    </row>
    <row r="675" spans="1:21"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c r="T675" t="str">
        <f>TEXT(SalesData[[#This Row],[Date]],"MMM-YYY")</f>
        <v>Jun-2024</v>
      </c>
      <c r="U675" t="str">
        <f>TEXT(SalesData[[#This Row],[Date]],"YYYY")&amp;"  Q"&amp;INT(MONTH(SalesData[[#This Row],[Date]]/2)+3)</f>
        <v>2024  Q6</v>
      </c>
    </row>
    <row r="676" spans="1:21"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c r="T676" t="str">
        <f>TEXT(SalesData[[#This Row],[Date]],"MMM-YYY")</f>
        <v>Aug-2023</v>
      </c>
      <c r="U676" t="str">
        <f>TEXT(SalesData[[#This Row],[Date]],"YYYY")&amp;"  Q"&amp;INT(MONTH(SalesData[[#This Row],[Date]]/2)+3)</f>
        <v>2023  Q13</v>
      </c>
    </row>
    <row r="677" spans="1:21"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c r="T677" t="str">
        <f>TEXT(SalesData[[#This Row],[Date]],"MMM-YYY")</f>
        <v>Jun-2023</v>
      </c>
      <c r="U677" t="str">
        <f>TEXT(SalesData[[#This Row],[Date]],"YYYY")&amp;"  Q"&amp;INT(MONTH(SalesData[[#This Row],[Date]]/2)+3)</f>
        <v>2023  Q12</v>
      </c>
    </row>
    <row r="678" spans="1:21"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c r="T678" t="str">
        <f>TEXT(SalesData[[#This Row],[Date]],"MMM-YYY")</f>
        <v>Feb-2023</v>
      </c>
      <c r="U678" t="str">
        <f>TEXT(SalesData[[#This Row],[Date]],"YYYY")&amp;"  Q"&amp;INT(MONTH(SalesData[[#This Row],[Date]]/2)+3)</f>
        <v>2023  Q10</v>
      </c>
    </row>
    <row r="679" spans="1:21"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c r="T679" t="str">
        <f>TEXT(SalesData[[#This Row],[Date]],"MMM-YYY")</f>
        <v>Jan-2024</v>
      </c>
      <c r="U679" t="str">
        <f>TEXT(SalesData[[#This Row],[Date]],"YYYY")&amp;"  Q"&amp;INT(MONTH(SalesData[[#This Row],[Date]]/2)+3)</f>
        <v>2024  Q4</v>
      </c>
    </row>
    <row r="680" spans="1:21"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c r="T680" t="str">
        <f>TEXT(SalesData[[#This Row],[Date]],"MMM-YYY")</f>
        <v>Oct-2024</v>
      </c>
      <c r="U680" t="str">
        <f>TEXT(SalesData[[#This Row],[Date]],"YYYY")&amp;"  Q"&amp;INT(MONTH(SalesData[[#This Row],[Date]]/2)+3)</f>
        <v>2024  Q9</v>
      </c>
    </row>
    <row r="681" spans="1:21"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c r="T681" t="str">
        <f>TEXT(SalesData[[#This Row],[Date]],"MMM-YYY")</f>
        <v>Dec-2023</v>
      </c>
      <c r="U681" t="str">
        <f>TEXT(SalesData[[#This Row],[Date]],"YYYY")&amp;"  Q"&amp;INT(MONTH(SalesData[[#This Row],[Date]]/2)+3)</f>
        <v>2023  Q15</v>
      </c>
    </row>
    <row r="682" spans="1:21"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c r="T682" t="str">
        <f>TEXT(SalesData[[#This Row],[Date]],"MMM-YYY")</f>
        <v>Jul-2023</v>
      </c>
      <c r="U682" t="str">
        <f>TEXT(SalesData[[#This Row],[Date]],"YYYY")&amp;"  Q"&amp;INT(MONTH(SalesData[[#This Row],[Date]]/2)+3)</f>
        <v>2023  Q13</v>
      </c>
    </row>
    <row r="683" spans="1:21"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c r="T683" t="str">
        <f>TEXT(SalesData[[#This Row],[Date]],"MMM-YYY")</f>
        <v>May-2024</v>
      </c>
      <c r="U683" t="str">
        <f>TEXT(SalesData[[#This Row],[Date]],"YYYY")&amp;"  Q"&amp;INT(MONTH(SalesData[[#This Row],[Date]]/2)+3)</f>
        <v>2024  Q6</v>
      </c>
    </row>
    <row r="684" spans="1:21"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c r="T684" t="str">
        <f>TEXT(SalesData[[#This Row],[Date]],"MMM-YYY")</f>
        <v>Sep-2023</v>
      </c>
      <c r="U684" t="str">
        <f>TEXT(SalesData[[#This Row],[Date]],"YYYY")&amp;"  Q"&amp;INT(MONTH(SalesData[[#This Row],[Date]]/2)+3)</f>
        <v>2023  Q14</v>
      </c>
    </row>
    <row r="685" spans="1:21"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c r="T685" t="str">
        <f>TEXT(SalesData[[#This Row],[Date]],"MMM-YYY")</f>
        <v>Nov-2024</v>
      </c>
      <c r="U685" t="str">
        <f>TEXT(SalesData[[#This Row],[Date]],"YYYY")&amp;"  Q"&amp;INT(MONTH(SalesData[[#This Row],[Date]]/2)+3)</f>
        <v>2024  Q9</v>
      </c>
    </row>
    <row r="686" spans="1:21"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c r="T686" t="str">
        <f>TEXT(SalesData[[#This Row],[Date]],"MMM-YYY")</f>
        <v>Apr-2024</v>
      </c>
      <c r="U686" t="str">
        <f>TEXT(SalesData[[#This Row],[Date]],"YYYY")&amp;"  Q"&amp;INT(MONTH(SalesData[[#This Row],[Date]]/2)+3)</f>
        <v>2024  Q5</v>
      </c>
    </row>
    <row r="687" spans="1:21"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c r="T687" t="str">
        <f>TEXT(SalesData[[#This Row],[Date]],"MMM-YYY")</f>
        <v>Jun-2024</v>
      </c>
      <c r="U687" t="str">
        <f>TEXT(SalesData[[#This Row],[Date]],"YYYY")&amp;"  Q"&amp;INT(MONTH(SalesData[[#This Row],[Date]]/2)+3)</f>
        <v>2024  Q6</v>
      </c>
    </row>
    <row r="688" spans="1:21"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c r="T688" t="str">
        <f>TEXT(SalesData[[#This Row],[Date]],"MMM-YYY")</f>
        <v>Aug-2024</v>
      </c>
      <c r="U688" t="str">
        <f>TEXT(SalesData[[#This Row],[Date]],"YYYY")&amp;"  Q"&amp;INT(MONTH(SalesData[[#This Row],[Date]]/2)+3)</f>
        <v>2024  Q7</v>
      </c>
    </row>
    <row r="689" spans="1:21"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c r="T689" t="str">
        <f>TEXT(SalesData[[#This Row],[Date]],"MMM-YYY")</f>
        <v>Dec-2023</v>
      </c>
      <c r="U689" t="str">
        <f>TEXT(SalesData[[#This Row],[Date]],"YYYY")&amp;"  Q"&amp;INT(MONTH(SalesData[[#This Row],[Date]]/2)+3)</f>
        <v>2023  Q15</v>
      </c>
    </row>
    <row r="690" spans="1:21"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c r="T690" t="str">
        <f>TEXT(SalesData[[#This Row],[Date]],"MMM-YYY")</f>
        <v>Jan-2025</v>
      </c>
      <c r="U690" t="str">
        <f>TEXT(SalesData[[#This Row],[Date]],"YYYY")&amp;"  Q"&amp;INT(MONTH(SalesData[[#This Row],[Date]]/2)+3)</f>
        <v>2025  Q10</v>
      </c>
    </row>
    <row r="691" spans="1:21"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c r="T691" t="str">
        <f>TEXT(SalesData[[#This Row],[Date]],"MMM-YYY")</f>
        <v>May-2023</v>
      </c>
      <c r="U691" t="str">
        <f>TEXT(SalesData[[#This Row],[Date]],"YYYY")&amp;"  Q"&amp;INT(MONTH(SalesData[[#This Row],[Date]]/2)+3)</f>
        <v>2023  Q12</v>
      </c>
    </row>
    <row r="692" spans="1:21"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c r="T692" t="str">
        <f>TEXT(SalesData[[#This Row],[Date]],"MMM-YYY")</f>
        <v>Jan-2024</v>
      </c>
      <c r="U692" t="str">
        <f>TEXT(SalesData[[#This Row],[Date]],"YYYY")&amp;"  Q"&amp;INT(MONTH(SalesData[[#This Row],[Date]]/2)+3)</f>
        <v>2024  Q4</v>
      </c>
    </row>
    <row r="693" spans="1:21"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c r="T693" t="str">
        <f>TEXT(SalesData[[#This Row],[Date]],"MMM-YYY")</f>
        <v>May-2025</v>
      </c>
      <c r="U693" t="str">
        <f>TEXT(SalesData[[#This Row],[Date]],"YYYY")&amp;"  Q"&amp;INT(MONTH(SalesData[[#This Row],[Date]]/2)+3)</f>
        <v>2025  Q12</v>
      </c>
    </row>
    <row r="694" spans="1:21"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c r="T694" t="str">
        <f>TEXT(SalesData[[#This Row],[Date]],"MMM-YYY")</f>
        <v>Mar-2025</v>
      </c>
      <c r="U694" t="str">
        <f>TEXT(SalesData[[#This Row],[Date]],"YYYY")&amp;"  Q"&amp;INT(MONTH(SalesData[[#This Row],[Date]]/2)+3)</f>
        <v>2025  Q11</v>
      </c>
    </row>
    <row r="695" spans="1:21"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c r="T695" t="str">
        <f>TEXT(SalesData[[#This Row],[Date]],"MMM-YYY")</f>
        <v>Feb-2024</v>
      </c>
      <c r="U695" t="str">
        <f>TEXT(SalesData[[#This Row],[Date]],"YYYY")&amp;"  Q"&amp;INT(MONTH(SalesData[[#This Row],[Date]]/2)+3)</f>
        <v>2024  Q4</v>
      </c>
    </row>
    <row r="696" spans="1:21"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c r="T696" t="str">
        <f>TEXT(SalesData[[#This Row],[Date]],"MMM-YYY")</f>
        <v>Feb-2025</v>
      </c>
      <c r="U696" t="str">
        <f>TEXT(SalesData[[#This Row],[Date]],"YYYY")&amp;"  Q"&amp;INT(MONTH(SalesData[[#This Row],[Date]]/2)+3)</f>
        <v>2025  Q10</v>
      </c>
    </row>
    <row r="697" spans="1:21"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c r="T697" t="str">
        <f>TEXT(SalesData[[#This Row],[Date]],"MMM-YYY")</f>
        <v>Jan-2024</v>
      </c>
      <c r="U697" t="str">
        <f>TEXT(SalesData[[#This Row],[Date]],"YYYY")&amp;"  Q"&amp;INT(MONTH(SalesData[[#This Row],[Date]]/2)+3)</f>
        <v>2024  Q4</v>
      </c>
    </row>
    <row r="698" spans="1:21"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c r="T698" t="str">
        <f>TEXT(SalesData[[#This Row],[Date]],"MMM-YYY")</f>
        <v>May-2025</v>
      </c>
      <c r="U698" t="str">
        <f>TEXT(SalesData[[#This Row],[Date]],"YYYY")&amp;"  Q"&amp;INT(MONTH(SalesData[[#This Row],[Date]]/2)+3)</f>
        <v>2025  Q12</v>
      </c>
    </row>
    <row r="699" spans="1:21"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c r="T699" t="str">
        <f>TEXT(SalesData[[#This Row],[Date]],"MMM-YYY")</f>
        <v>Apr-2023</v>
      </c>
      <c r="U699" t="str">
        <f>TEXT(SalesData[[#This Row],[Date]],"YYYY")&amp;"  Q"&amp;INT(MONTH(SalesData[[#This Row],[Date]]/2)+3)</f>
        <v>2023  Q11</v>
      </c>
    </row>
    <row r="700" spans="1:21"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c r="T700" t="str">
        <f>TEXT(SalesData[[#This Row],[Date]],"MMM-YYY")</f>
        <v>Jun-2024</v>
      </c>
      <c r="U700" t="str">
        <f>TEXT(SalesData[[#This Row],[Date]],"YYYY")&amp;"  Q"&amp;INT(MONTH(SalesData[[#This Row],[Date]]/2)+3)</f>
        <v>2024  Q6</v>
      </c>
    </row>
    <row r="701" spans="1:21"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c r="T701" t="str">
        <f>TEXT(SalesData[[#This Row],[Date]],"MMM-YYY")</f>
        <v>Nov-2024</v>
      </c>
      <c r="U701" t="str">
        <f>TEXT(SalesData[[#This Row],[Date]],"YYYY")&amp;"  Q"&amp;INT(MONTH(SalesData[[#This Row],[Date]]/2)+3)</f>
        <v>2024  Q9</v>
      </c>
    </row>
    <row r="702" spans="1:21"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c r="T702" t="str">
        <f>TEXT(SalesData[[#This Row],[Date]],"MMM-YYY")</f>
        <v>Feb-2025</v>
      </c>
      <c r="U702" t="str">
        <f>TEXT(SalesData[[#This Row],[Date]],"YYYY")&amp;"  Q"&amp;INT(MONTH(SalesData[[#This Row],[Date]]/2)+3)</f>
        <v>2025  Q10</v>
      </c>
    </row>
    <row r="703" spans="1:21"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c r="T703" t="str">
        <f>TEXT(SalesData[[#This Row],[Date]],"MMM-YYY")</f>
        <v>Nov-2024</v>
      </c>
      <c r="U703" t="str">
        <f>TEXT(SalesData[[#This Row],[Date]],"YYYY")&amp;"  Q"&amp;INT(MONTH(SalesData[[#This Row],[Date]]/2)+3)</f>
        <v>2024  Q9</v>
      </c>
    </row>
    <row r="704" spans="1:21"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c r="T704" t="str">
        <f>TEXT(SalesData[[#This Row],[Date]],"MMM-YYY")</f>
        <v>Apr-2024</v>
      </c>
      <c r="U704" t="str">
        <f>TEXT(SalesData[[#This Row],[Date]],"YYYY")&amp;"  Q"&amp;INT(MONTH(SalesData[[#This Row],[Date]]/2)+3)</f>
        <v>2024  Q5</v>
      </c>
    </row>
    <row r="705" spans="1:21"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c r="T705" t="str">
        <f>TEXT(SalesData[[#This Row],[Date]],"MMM-YYY")</f>
        <v>Jun-2024</v>
      </c>
      <c r="U705" t="str">
        <f>TEXT(SalesData[[#This Row],[Date]],"YYYY")&amp;"  Q"&amp;INT(MONTH(SalesData[[#This Row],[Date]]/2)+3)</f>
        <v>2024  Q6</v>
      </c>
    </row>
    <row r="706" spans="1:21"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c r="T706" t="str">
        <f>TEXT(SalesData[[#This Row],[Date]],"MMM-YYY")</f>
        <v>Jun-2025</v>
      </c>
      <c r="U706" t="str">
        <f>TEXT(SalesData[[#This Row],[Date]],"YYYY")&amp;"  Q"&amp;INT(MONTH(SalesData[[#This Row],[Date]]/2)+3)</f>
        <v>2025  Q12</v>
      </c>
    </row>
    <row r="707" spans="1:21"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c r="T707" t="str">
        <f>TEXT(SalesData[[#This Row],[Date]],"MMM-YYY")</f>
        <v>Mar-2023</v>
      </c>
      <c r="U707" t="str">
        <f>TEXT(SalesData[[#This Row],[Date]],"YYYY")&amp;"  Q"&amp;INT(MONTH(SalesData[[#This Row],[Date]]/2)+3)</f>
        <v>2023  Q11</v>
      </c>
    </row>
    <row r="708" spans="1:21"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c r="T708" t="str">
        <f>TEXT(SalesData[[#This Row],[Date]],"MMM-YYY")</f>
        <v>Nov-2024</v>
      </c>
      <c r="U708" t="str">
        <f>TEXT(SalesData[[#This Row],[Date]],"YYYY")&amp;"  Q"&amp;INT(MONTH(SalesData[[#This Row],[Date]]/2)+3)</f>
        <v>2024  Q9</v>
      </c>
    </row>
    <row r="709" spans="1:21"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c r="T709" t="str">
        <f>TEXT(SalesData[[#This Row],[Date]],"MMM-YYY")</f>
        <v>Oct-2024</v>
      </c>
      <c r="U709" t="str">
        <f>TEXT(SalesData[[#This Row],[Date]],"YYYY")&amp;"  Q"&amp;INT(MONTH(SalesData[[#This Row],[Date]]/2)+3)</f>
        <v>2024  Q8</v>
      </c>
    </row>
    <row r="710" spans="1:21"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c r="T710" t="str">
        <f>TEXT(SalesData[[#This Row],[Date]],"MMM-YYY")</f>
        <v>May-2023</v>
      </c>
      <c r="U710" t="str">
        <f>TEXT(SalesData[[#This Row],[Date]],"YYYY")&amp;"  Q"&amp;INT(MONTH(SalesData[[#This Row],[Date]]/2)+3)</f>
        <v>2023  Q12</v>
      </c>
    </row>
    <row r="711" spans="1:21"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c r="T711" t="str">
        <f>TEXT(SalesData[[#This Row],[Date]],"MMM-YYY")</f>
        <v>Jul-2023</v>
      </c>
      <c r="U711" t="str">
        <f>TEXT(SalesData[[#This Row],[Date]],"YYYY")&amp;"  Q"&amp;INT(MONTH(SalesData[[#This Row],[Date]]/2)+3)</f>
        <v>2023  Q13</v>
      </c>
    </row>
    <row r="712" spans="1:21"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c r="T712" t="str">
        <f>TEXT(SalesData[[#This Row],[Date]],"MMM-YYY")</f>
        <v>Aug-2023</v>
      </c>
      <c r="U712" t="str">
        <f>TEXT(SalesData[[#This Row],[Date]],"YYYY")&amp;"  Q"&amp;INT(MONTH(SalesData[[#This Row],[Date]]/2)+3)</f>
        <v>2023  Q13</v>
      </c>
    </row>
    <row r="713" spans="1:21"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c r="T713" t="str">
        <f>TEXT(SalesData[[#This Row],[Date]],"MMM-YYY")</f>
        <v>Dec-2023</v>
      </c>
      <c r="U713" t="str">
        <f>TEXT(SalesData[[#This Row],[Date]],"YYYY")&amp;"  Q"&amp;INT(MONTH(SalesData[[#This Row],[Date]]/2)+3)</f>
        <v>2023  Q15</v>
      </c>
    </row>
    <row r="714" spans="1:21"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c r="T714" t="str">
        <f>TEXT(SalesData[[#This Row],[Date]],"MMM-YYY")</f>
        <v>Mar-2025</v>
      </c>
      <c r="U714" t="str">
        <f>TEXT(SalesData[[#This Row],[Date]],"YYYY")&amp;"  Q"&amp;INT(MONTH(SalesData[[#This Row],[Date]]/2)+3)</f>
        <v>2025  Q11</v>
      </c>
    </row>
    <row r="715" spans="1:21"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c r="T715" t="str">
        <f>TEXT(SalesData[[#This Row],[Date]],"MMM-YYY")</f>
        <v>Sep-2023</v>
      </c>
      <c r="U715" t="str">
        <f>TEXT(SalesData[[#This Row],[Date]],"YYYY")&amp;"  Q"&amp;INT(MONTH(SalesData[[#This Row],[Date]]/2)+3)</f>
        <v>2023  Q14</v>
      </c>
    </row>
    <row r="716" spans="1:21"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c r="T716" t="str">
        <f>TEXT(SalesData[[#This Row],[Date]],"MMM-YYY")</f>
        <v>May-2023</v>
      </c>
      <c r="U716" t="str">
        <f>TEXT(SalesData[[#This Row],[Date]],"YYYY")&amp;"  Q"&amp;INT(MONTH(SalesData[[#This Row],[Date]]/2)+3)</f>
        <v>2023  Q12</v>
      </c>
    </row>
    <row r="717" spans="1:21"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c r="T717" t="str">
        <f>TEXT(SalesData[[#This Row],[Date]],"MMM-YYY")</f>
        <v>May-2025</v>
      </c>
      <c r="U717" t="str">
        <f>TEXT(SalesData[[#This Row],[Date]],"YYYY")&amp;"  Q"&amp;INT(MONTH(SalesData[[#This Row],[Date]]/2)+3)</f>
        <v>2025  Q12</v>
      </c>
    </row>
    <row r="718" spans="1:21"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c r="T718" t="str">
        <f>TEXT(SalesData[[#This Row],[Date]],"MMM-YYY")</f>
        <v>Sep-2023</v>
      </c>
      <c r="U718" t="str">
        <f>TEXT(SalesData[[#This Row],[Date]],"YYYY")&amp;"  Q"&amp;INT(MONTH(SalesData[[#This Row],[Date]]/2)+3)</f>
        <v>2023  Q14</v>
      </c>
    </row>
    <row r="719" spans="1:21"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c r="T719" t="str">
        <f>TEXT(SalesData[[#This Row],[Date]],"MMM-YYY")</f>
        <v>Oct-2024</v>
      </c>
      <c r="U719" t="str">
        <f>TEXT(SalesData[[#This Row],[Date]],"YYYY")&amp;"  Q"&amp;INT(MONTH(SalesData[[#This Row],[Date]]/2)+3)</f>
        <v>2024  Q8</v>
      </c>
    </row>
    <row r="720" spans="1:21"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c r="T720" t="str">
        <f>TEXT(SalesData[[#This Row],[Date]],"MMM-YYY")</f>
        <v>Apr-2023</v>
      </c>
      <c r="U720" t="str">
        <f>TEXT(SalesData[[#This Row],[Date]],"YYYY")&amp;"  Q"&amp;INT(MONTH(SalesData[[#This Row],[Date]]/2)+3)</f>
        <v>2023  Q11</v>
      </c>
    </row>
    <row r="721" spans="1:21"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c r="T721" t="str">
        <f>TEXT(SalesData[[#This Row],[Date]],"MMM-YYY")</f>
        <v>Mar-2023</v>
      </c>
      <c r="U721" t="str">
        <f>TEXT(SalesData[[#This Row],[Date]],"YYYY")&amp;"  Q"&amp;INT(MONTH(SalesData[[#This Row],[Date]]/2)+3)</f>
        <v>2023  Q11</v>
      </c>
    </row>
    <row r="722" spans="1:21"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c r="T722" t="str">
        <f>TEXT(SalesData[[#This Row],[Date]],"MMM-YYY")</f>
        <v>Jul-2024</v>
      </c>
      <c r="U722" t="str">
        <f>TEXT(SalesData[[#This Row],[Date]],"YYYY")&amp;"  Q"&amp;INT(MONTH(SalesData[[#This Row],[Date]]/2)+3)</f>
        <v>2024  Q7</v>
      </c>
    </row>
    <row r="723" spans="1:21"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c r="T723" t="str">
        <f>TEXT(SalesData[[#This Row],[Date]],"MMM-YYY")</f>
        <v>May-2024</v>
      </c>
      <c r="U723" t="str">
        <f>TEXT(SalesData[[#This Row],[Date]],"YYYY")&amp;"  Q"&amp;INT(MONTH(SalesData[[#This Row],[Date]]/2)+3)</f>
        <v>2024  Q6</v>
      </c>
    </row>
    <row r="724" spans="1:21"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c r="T724" t="str">
        <f>TEXT(SalesData[[#This Row],[Date]],"MMM-YYY")</f>
        <v>May-2025</v>
      </c>
      <c r="U724" t="str">
        <f>TEXT(SalesData[[#This Row],[Date]],"YYYY")&amp;"  Q"&amp;INT(MONTH(SalesData[[#This Row],[Date]]/2)+3)</f>
        <v>2025  Q12</v>
      </c>
    </row>
    <row r="725" spans="1:21"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c r="T725" t="str">
        <f>TEXT(SalesData[[#This Row],[Date]],"MMM-YYY")</f>
        <v>Jan-2023</v>
      </c>
      <c r="U725" t="str">
        <f>TEXT(SalesData[[#This Row],[Date]],"YYYY")&amp;"  Q"&amp;INT(MONTH(SalesData[[#This Row],[Date]]/2)+3)</f>
        <v>2023  Q10</v>
      </c>
    </row>
    <row r="726" spans="1:21"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c r="T726" t="str">
        <f>TEXT(SalesData[[#This Row],[Date]],"MMM-YYY")</f>
        <v>Jan-2024</v>
      </c>
      <c r="U726" t="str">
        <f>TEXT(SalesData[[#This Row],[Date]],"YYYY")&amp;"  Q"&amp;INT(MONTH(SalesData[[#This Row],[Date]]/2)+3)</f>
        <v>2024  Q4</v>
      </c>
    </row>
    <row r="727" spans="1:21"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c r="T727" t="str">
        <f>TEXT(SalesData[[#This Row],[Date]],"MMM-YYY")</f>
        <v>Jul-2023</v>
      </c>
      <c r="U727" t="str">
        <f>TEXT(SalesData[[#This Row],[Date]],"YYYY")&amp;"  Q"&amp;INT(MONTH(SalesData[[#This Row],[Date]]/2)+3)</f>
        <v>2023  Q13</v>
      </c>
    </row>
    <row r="728" spans="1:21"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c r="T728" t="str">
        <f>TEXT(SalesData[[#This Row],[Date]],"MMM-YYY")</f>
        <v>Jun-2025</v>
      </c>
      <c r="U728" t="str">
        <f>TEXT(SalesData[[#This Row],[Date]],"YYYY")&amp;"  Q"&amp;INT(MONTH(SalesData[[#This Row],[Date]]/2)+3)</f>
        <v>2025  Q12</v>
      </c>
    </row>
    <row r="729" spans="1:21"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c r="T729" t="str">
        <f>TEXT(SalesData[[#This Row],[Date]],"MMM-YYY")</f>
        <v>Dec-2024</v>
      </c>
      <c r="U729" t="str">
        <f>TEXT(SalesData[[#This Row],[Date]],"YYYY")&amp;"  Q"&amp;INT(MONTH(SalesData[[#This Row],[Date]]/2)+3)</f>
        <v>2024  Q9</v>
      </c>
    </row>
    <row r="730" spans="1:21"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c r="T730" t="str">
        <f>TEXT(SalesData[[#This Row],[Date]],"MMM-YYY")</f>
        <v>May-2023</v>
      </c>
      <c r="U730" t="str">
        <f>TEXT(SalesData[[#This Row],[Date]],"YYYY")&amp;"  Q"&amp;INT(MONTH(SalesData[[#This Row],[Date]]/2)+3)</f>
        <v>2023  Q12</v>
      </c>
    </row>
    <row r="731" spans="1:21"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c r="T731" t="str">
        <f>TEXT(SalesData[[#This Row],[Date]],"MMM-YYY")</f>
        <v>Apr-2024</v>
      </c>
      <c r="U731" t="str">
        <f>TEXT(SalesData[[#This Row],[Date]],"YYYY")&amp;"  Q"&amp;INT(MONTH(SalesData[[#This Row],[Date]]/2)+3)</f>
        <v>2024  Q5</v>
      </c>
    </row>
    <row r="732" spans="1:21"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c r="T732" t="str">
        <f>TEXT(SalesData[[#This Row],[Date]],"MMM-YYY")</f>
        <v>Jan-2024</v>
      </c>
      <c r="U732" t="str">
        <f>TEXT(SalesData[[#This Row],[Date]],"YYYY")&amp;"  Q"&amp;INT(MONTH(SalesData[[#This Row],[Date]]/2)+3)</f>
        <v>2024  Q4</v>
      </c>
    </row>
    <row r="733" spans="1:21"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c r="T733" t="str">
        <f>TEXT(SalesData[[#This Row],[Date]],"MMM-YYY")</f>
        <v>Apr-2025</v>
      </c>
      <c r="U733" t="str">
        <f>TEXT(SalesData[[#This Row],[Date]],"YYYY")&amp;"  Q"&amp;INT(MONTH(SalesData[[#This Row],[Date]]/2)+3)</f>
        <v>2025  Q11</v>
      </c>
    </row>
    <row r="734" spans="1:21"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c r="T734" t="str">
        <f>TEXT(SalesData[[#This Row],[Date]],"MMM-YYY")</f>
        <v>Apr-2025</v>
      </c>
      <c r="U734" t="str">
        <f>TEXT(SalesData[[#This Row],[Date]],"YYYY")&amp;"  Q"&amp;INT(MONTH(SalesData[[#This Row],[Date]]/2)+3)</f>
        <v>2025  Q11</v>
      </c>
    </row>
    <row r="735" spans="1:21"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c r="T735" t="str">
        <f>TEXT(SalesData[[#This Row],[Date]],"MMM-YYY")</f>
        <v>Oct-2024</v>
      </c>
      <c r="U735" t="str">
        <f>TEXT(SalesData[[#This Row],[Date]],"YYYY")&amp;"  Q"&amp;INT(MONTH(SalesData[[#This Row],[Date]]/2)+3)</f>
        <v>2024  Q8</v>
      </c>
    </row>
    <row r="736" spans="1:21"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c r="T736" t="str">
        <f>TEXT(SalesData[[#This Row],[Date]],"MMM-YYY")</f>
        <v>Jul-2024</v>
      </c>
      <c r="U736" t="str">
        <f>TEXT(SalesData[[#This Row],[Date]],"YYYY")&amp;"  Q"&amp;INT(MONTH(SalesData[[#This Row],[Date]]/2)+3)</f>
        <v>2024  Q7</v>
      </c>
    </row>
    <row r="737" spans="1:21"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c r="T737" t="str">
        <f>TEXT(SalesData[[#This Row],[Date]],"MMM-YYY")</f>
        <v>Jan-2025</v>
      </c>
      <c r="U737" t="str">
        <f>TEXT(SalesData[[#This Row],[Date]],"YYYY")&amp;"  Q"&amp;INT(MONTH(SalesData[[#This Row],[Date]]/2)+3)</f>
        <v>2025  Q10</v>
      </c>
    </row>
    <row r="738" spans="1:21"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c r="T738" t="str">
        <f>TEXT(SalesData[[#This Row],[Date]],"MMM-YYY")</f>
        <v>Jul-2024</v>
      </c>
      <c r="U738" t="str">
        <f>TEXT(SalesData[[#This Row],[Date]],"YYYY")&amp;"  Q"&amp;INT(MONTH(SalesData[[#This Row],[Date]]/2)+3)</f>
        <v>2024  Q7</v>
      </c>
    </row>
    <row r="739" spans="1:21"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c r="T739" t="str">
        <f>TEXT(SalesData[[#This Row],[Date]],"MMM-YYY")</f>
        <v>May-2024</v>
      </c>
      <c r="U739" t="str">
        <f>TEXT(SalesData[[#This Row],[Date]],"YYYY")&amp;"  Q"&amp;INT(MONTH(SalesData[[#This Row],[Date]]/2)+3)</f>
        <v>2024  Q6</v>
      </c>
    </row>
    <row r="740" spans="1:21"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c r="T740" t="str">
        <f>TEXT(SalesData[[#This Row],[Date]],"MMM-YYY")</f>
        <v>Aug-2024</v>
      </c>
      <c r="U740" t="str">
        <f>TEXT(SalesData[[#This Row],[Date]],"YYYY")&amp;"  Q"&amp;INT(MONTH(SalesData[[#This Row],[Date]]/2)+3)</f>
        <v>2024  Q7</v>
      </c>
    </row>
    <row r="741" spans="1:21"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c r="T741" t="str">
        <f>TEXT(SalesData[[#This Row],[Date]],"MMM-YYY")</f>
        <v>Apr-2023</v>
      </c>
      <c r="U741" t="str">
        <f>TEXT(SalesData[[#This Row],[Date]],"YYYY")&amp;"  Q"&amp;INT(MONTH(SalesData[[#This Row],[Date]]/2)+3)</f>
        <v>2023  Q11</v>
      </c>
    </row>
    <row r="742" spans="1:21"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c r="T742" t="str">
        <f>TEXT(SalesData[[#This Row],[Date]],"MMM-YYY")</f>
        <v>Jun-2023</v>
      </c>
      <c r="U742" t="str">
        <f>TEXT(SalesData[[#This Row],[Date]],"YYYY")&amp;"  Q"&amp;INT(MONTH(SalesData[[#This Row],[Date]]/2)+3)</f>
        <v>2023  Q12</v>
      </c>
    </row>
    <row r="743" spans="1:21"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c r="T743" t="str">
        <f>TEXT(SalesData[[#This Row],[Date]],"MMM-YYY")</f>
        <v>Oct-2024</v>
      </c>
      <c r="U743" t="str">
        <f>TEXT(SalesData[[#This Row],[Date]],"YYYY")&amp;"  Q"&amp;INT(MONTH(SalesData[[#This Row],[Date]]/2)+3)</f>
        <v>2024  Q8</v>
      </c>
    </row>
    <row r="744" spans="1:21"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c r="T744" t="str">
        <f>TEXT(SalesData[[#This Row],[Date]],"MMM-YYY")</f>
        <v>Jan-2025</v>
      </c>
      <c r="U744" t="str">
        <f>TEXT(SalesData[[#This Row],[Date]],"YYYY")&amp;"  Q"&amp;INT(MONTH(SalesData[[#This Row],[Date]]/2)+3)</f>
        <v>2025  Q10</v>
      </c>
    </row>
    <row r="745" spans="1:21"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c r="T745" t="str">
        <f>TEXT(SalesData[[#This Row],[Date]],"MMM-YYY")</f>
        <v>Jun-2024</v>
      </c>
      <c r="U745" t="str">
        <f>TEXT(SalesData[[#This Row],[Date]],"YYYY")&amp;"  Q"&amp;INT(MONTH(SalesData[[#This Row],[Date]]/2)+3)</f>
        <v>2024  Q6</v>
      </c>
    </row>
    <row r="746" spans="1:21"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c r="T746" t="str">
        <f>TEXT(SalesData[[#This Row],[Date]],"MMM-YYY")</f>
        <v>Jun-2025</v>
      </c>
      <c r="U746" t="str">
        <f>TEXT(SalesData[[#This Row],[Date]],"YYYY")&amp;"  Q"&amp;INT(MONTH(SalesData[[#This Row],[Date]]/2)+3)</f>
        <v>2025  Q12</v>
      </c>
    </row>
    <row r="747" spans="1:21"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c r="T747" t="str">
        <f>TEXT(SalesData[[#This Row],[Date]],"MMM-YYY")</f>
        <v>Oct-2024</v>
      </c>
      <c r="U747" t="str">
        <f>TEXT(SalesData[[#This Row],[Date]],"YYYY")&amp;"  Q"&amp;INT(MONTH(SalesData[[#This Row],[Date]]/2)+3)</f>
        <v>2024  Q8</v>
      </c>
    </row>
    <row r="748" spans="1:21"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c r="T748" t="str">
        <f>TEXT(SalesData[[#This Row],[Date]],"MMM-YYY")</f>
        <v>Apr-2025</v>
      </c>
      <c r="U748" t="str">
        <f>TEXT(SalesData[[#This Row],[Date]],"YYYY")&amp;"  Q"&amp;INT(MONTH(SalesData[[#This Row],[Date]]/2)+3)</f>
        <v>2025  Q11</v>
      </c>
    </row>
    <row r="749" spans="1:21"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c r="T749" t="str">
        <f>TEXT(SalesData[[#This Row],[Date]],"MMM-YYY")</f>
        <v>Jan-2023</v>
      </c>
      <c r="U749" t="str">
        <f>TEXT(SalesData[[#This Row],[Date]],"YYYY")&amp;"  Q"&amp;INT(MONTH(SalesData[[#This Row],[Date]]/2)+3)</f>
        <v>2023  Q10</v>
      </c>
    </row>
    <row r="750" spans="1:21"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c r="T750" t="str">
        <f>TEXT(SalesData[[#This Row],[Date]],"MMM-YYY")</f>
        <v>Mar-2024</v>
      </c>
      <c r="U750" t="str">
        <f>TEXT(SalesData[[#This Row],[Date]],"YYYY")&amp;"  Q"&amp;INT(MONTH(SalesData[[#This Row],[Date]]/2)+3)</f>
        <v>2024  Q5</v>
      </c>
    </row>
    <row r="751" spans="1:21"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c r="T751" t="str">
        <f>TEXT(SalesData[[#This Row],[Date]],"MMM-YYY")</f>
        <v>Jun-2023</v>
      </c>
      <c r="U751" t="str">
        <f>TEXT(SalesData[[#This Row],[Date]],"YYYY")&amp;"  Q"&amp;INT(MONTH(SalesData[[#This Row],[Date]]/2)+3)</f>
        <v>2023  Q12</v>
      </c>
    </row>
    <row r="752" spans="1:21"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c r="T752" t="str">
        <f>TEXT(SalesData[[#This Row],[Date]],"MMM-YYY")</f>
        <v>Jun-2024</v>
      </c>
      <c r="U752" t="str">
        <f>TEXT(SalesData[[#This Row],[Date]],"YYYY")&amp;"  Q"&amp;INT(MONTH(SalesData[[#This Row],[Date]]/2)+3)</f>
        <v>2024  Q6</v>
      </c>
    </row>
    <row r="753" spans="1:21"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c r="T753" t="str">
        <f>TEXT(SalesData[[#This Row],[Date]],"MMM-YYY")</f>
        <v>Nov-2023</v>
      </c>
      <c r="U753" t="str">
        <f>TEXT(SalesData[[#This Row],[Date]],"YYYY")&amp;"  Q"&amp;INT(MONTH(SalesData[[#This Row],[Date]]/2)+3)</f>
        <v>2023  Q15</v>
      </c>
    </row>
    <row r="754" spans="1:21"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c r="T754" t="str">
        <f>TEXT(SalesData[[#This Row],[Date]],"MMM-YYY")</f>
        <v>Apr-2024</v>
      </c>
      <c r="U754" t="str">
        <f>TEXT(SalesData[[#This Row],[Date]],"YYYY")&amp;"  Q"&amp;INT(MONTH(SalesData[[#This Row],[Date]]/2)+3)</f>
        <v>2024  Q5</v>
      </c>
    </row>
    <row r="755" spans="1:21"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c r="T755" t="str">
        <f>TEXT(SalesData[[#This Row],[Date]],"MMM-YYY")</f>
        <v>Aug-2023</v>
      </c>
      <c r="U755" t="str">
        <f>TEXT(SalesData[[#This Row],[Date]],"YYYY")&amp;"  Q"&amp;INT(MONTH(SalesData[[#This Row],[Date]]/2)+3)</f>
        <v>2023  Q13</v>
      </c>
    </row>
    <row r="756" spans="1:21"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c r="T756" t="str">
        <f>TEXT(SalesData[[#This Row],[Date]],"MMM-YYY")</f>
        <v>Jun-2024</v>
      </c>
      <c r="U756" t="str">
        <f>TEXT(SalesData[[#This Row],[Date]],"YYYY")&amp;"  Q"&amp;INT(MONTH(SalesData[[#This Row],[Date]]/2)+3)</f>
        <v>2024  Q6</v>
      </c>
    </row>
    <row r="757" spans="1:21"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c r="T757" t="str">
        <f>TEXT(SalesData[[#This Row],[Date]],"MMM-YYY")</f>
        <v>Mar-2025</v>
      </c>
      <c r="U757" t="str">
        <f>TEXT(SalesData[[#This Row],[Date]],"YYYY")&amp;"  Q"&amp;INT(MONTH(SalesData[[#This Row],[Date]]/2)+3)</f>
        <v>2025  Q11</v>
      </c>
    </row>
    <row r="758" spans="1:21"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c r="T758" t="str">
        <f>TEXT(SalesData[[#This Row],[Date]],"MMM-YYY")</f>
        <v>Apr-2024</v>
      </c>
      <c r="U758" t="str">
        <f>TEXT(SalesData[[#This Row],[Date]],"YYYY")&amp;"  Q"&amp;INT(MONTH(SalesData[[#This Row],[Date]]/2)+3)</f>
        <v>2024  Q5</v>
      </c>
    </row>
    <row r="759" spans="1:21"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c r="T759" t="str">
        <f>TEXT(SalesData[[#This Row],[Date]],"MMM-YYY")</f>
        <v>Dec-2024</v>
      </c>
      <c r="U759" t="str">
        <f>TEXT(SalesData[[#This Row],[Date]],"YYYY")&amp;"  Q"&amp;INT(MONTH(SalesData[[#This Row],[Date]]/2)+3)</f>
        <v>2024  Q9</v>
      </c>
    </row>
    <row r="760" spans="1:21"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c r="T760" t="str">
        <f>TEXT(SalesData[[#This Row],[Date]],"MMM-YYY")</f>
        <v>Aug-2023</v>
      </c>
      <c r="U760" t="str">
        <f>TEXT(SalesData[[#This Row],[Date]],"YYYY")&amp;"  Q"&amp;INT(MONTH(SalesData[[#This Row],[Date]]/2)+3)</f>
        <v>2023  Q13</v>
      </c>
    </row>
    <row r="761" spans="1:21"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c r="T761" t="str">
        <f>TEXT(SalesData[[#This Row],[Date]],"MMM-YYY")</f>
        <v>Mar-2023</v>
      </c>
      <c r="U761" t="str">
        <f>TEXT(SalesData[[#This Row],[Date]],"YYYY")&amp;"  Q"&amp;INT(MONTH(SalesData[[#This Row],[Date]]/2)+3)</f>
        <v>2023  Q11</v>
      </c>
    </row>
    <row r="762" spans="1:21"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c r="T762" t="str">
        <f>TEXT(SalesData[[#This Row],[Date]],"MMM-YYY")</f>
        <v>Jun-2024</v>
      </c>
      <c r="U762" t="str">
        <f>TEXT(SalesData[[#This Row],[Date]],"YYYY")&amp;"  Q"&amp;INT(MONTH(SalesData[[#This Row],[Date]]/2)+3)</f>
        <v>2024  Q6</v>
      </c>
    </row>
    <row r="763" spans="1:21"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c r="T763" t="str">
        <f>TEXT(SalesData[[#This Row],[Date]],"MMM-YYY")</f>
        <v>Dec-2024</v>
      </c>
      <c r="U763" t="str">
        <f>TEXT(SalesData[[#This Row],[Date]],"YYYY")&amp;"  Q"&amp;INT(MONTH(SalesData[[#This Row],[Date]]/2)+3)</f>
        <v>2024  Q9</v>
      </c>
    </row>
    <row r="764" spans="1:21"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c r="T764" t="str">
        <f>TEXT(SalesData[[#This Row],[Date]],"MMM-YYY")</f>
        <v>Jul-2024</v>
      </c>
      <c r="U764" t="str">
        <f>TEXT(SalesData[[#This Row],[Date]],"YYYY")&amp;"  Q"&amp;INT(MONTH(SalesData[[#This Row],[Date]]/2)+3)</f>
        <v>2024  Q7</v>
      </c>
    </row>
    <row r="765" spans="1:21"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c r="T765" t="str">
        <f>TEXT(SalesData[[#This Row],[Date]],"MMM-YYY")</f>
        <v>Mar-2025</v>
      </c>
      <c r="U765" t="str">
        <f>TEXT(SalesData[[#This Row],[Date]],"YYYY")&amp;"  Q"&amp;INT(MONTH(SalesData[[#This Row],[Date]]/2)+3)</f>
        <v>2025  Q11</v>
      </c>
    </row>
    <row r="766" spans="1:21"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c r="T766" t="str">
        <f>TEXT(SalesData[[#This Row],[Date]],"MMM-YYY")</f>
        <v>Jan-2024</v>
      </c>
      <c r="U766" t="str">
        <f>TEXT(SalesData[[#This Row],[Date]],"YYYY")&amp;"  Q"&amp;INT(MONTH(SalesData[[#This Row],[Date]]/2)+3)</f>
        <v>2024  Q4</v>
      </c>
    </row>
    <row r="767" spans="1:21"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c r="T767" t="str">
        <f>TEXT(SalesData[[#This Row],[Date]],"MMM-YYY")</f>
        <v>Mar-2025</v>
      </c>
      <c r="U767" t="str">
        <f>TEXT(SalesData[[#This Row],[Date]],"YYYY")&amp;"  Q"&amp;INT(MONTH(SalesData[[#This Row],[Date]]/2)+3)</f>
        <v>2025  Q11</v>
      </c>
    </row>
    <row r="768" spans="1:21"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c r="T768" t="str">
        <f>TEXT(SalesData[[#This Row],[Date]],"MMM-YYY")</f>
        <v>Feb-2025</v>
      </c>
      <c r="U768" t="str">
        <f>TEXT(SalesData[[#This Row],[Date]],"YYYY")&amp;"  Q"&amp;INT(MONTH(SalesData[[#This Row],[Date]]/2)+3)</f>
        <v>2025  Q10</v>
      </c>
    </row>
    <row r="769" spans="1:21"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c r="T769" t="str">
        <f>TEXT(SalesData[[#This Row],[Date]],"MMM-YYY")</f>
        <v>May-2024</v>
      </c>
      <c r="U769" t="str">
        <f>TEXT(SalesData[[#This Row],[Date]],"YYYY")&amp;"  Q"&amp;INT(MONTH(SalesData[[#This Row],[Date]]/2)+3)</f>
        <v>2024  Q6</v>
      </c>
    </row>
    <row r="770" spans="1:21"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c r="T770" t="str">
        <f>TEXT(SalesData[[#This Row],[Date]],"MMM-YYY")</f>
        <v>Sep-2023</v>
      </c>
      <c r="U770" t="str">
        <f>TEXT(SalesData[[#This Row],[Date]],"YYYY")&amp;"  Q"&amp;INT(MONTH(SalesData[[#This Row],[Date]]/2)+3)</f>
        <v>2023  Q14</v>
      </c>
    </row>
    <row r="771" spans="1:21"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c r="T771" t="str">
        <f>TEXT(SalesData[[#This Row],[Date]],"MMM-YYY")</f>
        <v>Jun-2023</v>
      </c>
      <c r="U771" t="str">
        <f>TEXT(SalesData[[#This Row],[Date]],"YYYY")&amp;"  Q"&amp;INT(MONTH(SalesData[[#This Row],[Date]]/2)+3)</f>
        <v>2023  Q12</v>
      </c>
    </row>
    <row r="772" spans="1:21"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c r="T772" t="str">
        <f>TEXT(SalesData[[#This Row],[Date]],"MMM-YYY")</f>
        <v>May-2025</v>
      </c>
      <c r="U772" t="str">
        <f>TEXT(SalesData[[#This Row],[Date]],"YYYY")&amp;"  Q"&amp;INT(MONTH(SalesData[[#This Row],[Date]]/2)+3)</f>
        <v>2025  Q12</v>
      </c>
    </row>
    <row r="773" spans="1:21"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c r="T773" t="str">
        <f>TEXT(SalesData[[#This Row],[Date]],"MMM-YYY")</f>
        <v>Oct-2023</v>
      </c>
      <c r="U773" t="str">
        <f>TEXT(SalesData[[#This Row],[Date]],"YYYY")&amp;"  Q"&amp;INT(MONTH(SalesData[[#This Row],[Date]]/2)+3)</f>
        <v>2023  Q14</v>
      </c>
    </row>
    <row r="774" spans="1:21"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c r="T774" t="str">
        <f>TEXT(SalesData[[#This Row],[Date]],"MMM-YYY")</f>
        <v>Aug-2023</v>
      </c>
      <c r="U774" t="str">
        <f>TEXT(SalesData[[#This Row],[Date]],"YYYY")&amp;"  Q"&amp;INT(MONTH(SalesData[[#This Row],[Date]]/2)+3)</f>
        <v>2023  Q13</v>
      </c>
    </row>
    <row r="775" spans="1:21"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c r="T775" t="str">
        <f>TEXT(SalesData[[#This Row],[Date]],"MMM-YYY")</f>
        <v>Dec-2023</v>
      </c>
      <c r="U775" t="str">
        <f>TEXT(SalesData[[#This Row],[Date]],"YYYY")&amp;"  Q"&amp;INT(MONTH(SalesData[[#This Row],[Date]]/2)+3)</f>
        <v>2023  Q15</v>
      </c>
    </row>
    <row r="776" spans="1:21"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c r="T776" t="str">
        <f>TEXT(SalesData[[#This Row],[Date]],"MMM-YYY")</f>
        <v>Aug-2024</v>
      </c>
      <c r="U776" t="str">
        <f>TEXT(SalesData[[#This Row],[Date]],"YYYY")&amp;"  Q"&amp;INT(MONTH(SalesData[[#This Row],[Date]]/2)+3)</f>
        <v>2024  Q7</v>
      </c>
    </row>
    <row r="777" spans="1:21"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c r="T777" t="str">
        <f>TEXT(SalesData[[#This Row],[Date]],"MMM-YYY")</f>
        <v>Mar-2023</v>
      </c>
      <c r="U777" t="str">
        <f>TEXT(SalesData[[#This Row],[Date]],"YYYY")&amp;"  Q"&amp;INT(MONTH(SalesData[[#This Row],[Date]]/2)+3)</f>
        <v>2023  Q11</v>
      </c>
    </row>
    <row r="778" spans="1:21"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c r="T778" t="str">
        <f>TEXT(SalesData[[#This Row],[Date]],"MMM-YYY")</f>
        <v>Jun-2025</v>
      </c>
      <c r="U778" t="str">
        <f>TEXT(SalesData[[#This Row],[Date]],"YYYY")&amp;"  Q"&amp;INT(MONTH(SalesData[[#This Row],[Date]]/2)+3)</f>
        <v>2025  Q12</v>
      </c>
    </row>
    <row r="779" spans="1:21"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c r="T779" t="str">
        <f>TEXT(SalesData[[#This Row],[Date]],"MMM-YYY")</f>
        <v>Feb-2025</v>
      </c>
      <c r="U779" t="str">
        <f>TEXT(SalesData[[#This Row],[Date]],"YYYY")&amp;"  Q"&amp;INT(MONTH(SalesData[[#This Row],[Date]]/2)+3)</f>
        <v>2025  Q10</v>
      </c>
    </row>
    <row r="780" spans="1:21"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c r="T780" t="str">
        <f>TEXT(SalesData[[#This Row],[Date]],"MMM-YYY")</f>
        <v>May-2024</v>
      </c>
      <c r="U780" t="str">
        <f>TEXT(SalesData[[#This Row],[Date]],"YYYY")&amp;"  Q"&amp;INT(MONTH(SalesData[[#This Row],[Date]]/2)+3)</f>
        <v>2024  Q6</v>
      </c>
    </row>
    <row r="781" spans="1:21"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c r="T781" t="str">
        <f>TEXT(SalesData[[#This Row],[Date]],"MMM-YYY")</f>
        <v>Mar-2023</v>
      </c>
      <c r="U781" t="str">
        <f>TEXT(SalesData[[#This Row],[Date]],"YYYY")&amp;"  Q"&amp;INT(MONTH(SalesData[[#This Row],[Date]]/2)+3)</f>
        <v>2023  Q11</v>
      </c>
    </row>
    <row r="782" spans="1:21"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c r="T782" t="str">
        <f>TEXT(SalesData[[#This Row],[Date]],"MMM-YYY")</f>
        <v>Jan-2023</v>
      </c>
      <c r="U782" t="str">
        <f>TEXT(SalesData[[#This Row],[Date]],"YYYY")&amp;"  Q"&amp;INT(MONTH(SalesData[[#This Row],[Date]]/2)+3)</f>
        <v>2023  Q10</v>
      </c>
    </row>
    <row r="783" spans="1:21"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c r="T783" t="str">
        <f>TEXT(SalesData[[#This Row],[Date]],"MMM-YYY")</f>
        <v>Mar-2023</v>
      </c>
      <c r="U783" t="str">
        <f>TEXT(SalesData[[#This Row],[Date]],"YYYY")&amp;"  Q"&amp;INT(MONTH(SalesData[[#This Row],[Date]]/2)+3)</f>
        <v>2023  Q11</v>
      </c>
    </row>
    <row r="784" spans="1:21"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c r="T784" t="str">
        <f>TEXT(SalesData[[#This Row],[Date]],"MMM-YYY")</f>
        <v>Jun-2024</v>
      </c>
      <c r="U784" t="str">
        <f>TEXT(SalesData[[#This Row],[Date]],"YYYY")&amp;"  Q"&amp;INT(MONTH(SalesData[[#This Row],[Date]]/2)+3)</f>
        <v>2024  Q6</v>
      </c>
    </row>
    <row r="785" spans="1:21"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c r="T785" t="str">
        <f>TEXT(SalesData[[#This Row],[Date]],"MMM-YYY")</f>
        <v>Jul-2024</v>
      </c>
      <c r="U785" t="str">
        <f>TEXT(SalesData[[#This Row],[Date]],"YYYY")&amp;"  Q"&amp;INT(MONTH(SalesData[[#This Row],[Date]]/2)+3)</f>
        <v>2024  Q7</v>
      </c>
    </row>
    <row r="786" spans="1:21"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c r="T786" t="str">
        <f>TEXT(SalesData[[#This Row],[Date]],"MMM-YYY")</f>
        <v>Mar-2025</v>
      </c>
      <c r="U786" t="str">
        <f>TEXT(SalesData[[#This Row],[Date]],"YYYY")&amp;"  Q"&amp;INT(MONTH(SalesData[[#This Row],[Date]]/2)+3)</f>
        <v>2025  Q11</v>
      </c>
    </row>
    <row r="787" spans="1:21"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c r="T787" t="str">
        <f>TEXT(SalesData[[#This Row],[Date]],"MMM-YYY")</f>
        <v>Jun-2025</v>
      </c>
      <c r="U787" t="str">
        <f>TEXT(SalesData[[#This Row],[Date]],"YYYY")&amp;"  Q"&amp;INT(MONTH(SalesData[[#This Row],[Date]]/2)+3)</f>
        <v>2025  Q12</v>
      </c>
    </row>
    <row r="788" spans="1:21"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c r="T788" t="str">
        <f>TEXT(SalesData[[#This Row],[Date]],"MMM-YYY")</f>
        <v>Jun-2025</v>
      </c>
      <c r="U788" t="str">
        <f>TEXT(SalesData[[#This Row],[Date]],"YYYY")&amp;"  Q"&amp;INT(MONTH(SalesData[[#This Row],[Date]]/2)+3)</f>
        <v>2025  Q12</v>
      </c>
    </row>
    <row r="789" spans="1:21"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c r="T789" t="str">
        <f>TEXT(SalesData[[#This Row],[Date]],"MMM-YYY")</f>
        <v>Apr-2025</v>
      </c>
      <c r="U789" t="str">
        <f>TEXT(SalesData[[#This Row],[Date]],"YYYY")&amp;"  Q"&amp;INT(MONTH(SalesData[[#This Row],[Date]]/2)+3)</f>
        <v>2025  Q11</v>
      </c>
    </row>
    <row r="790" spans="1:21"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c r="T790" t="str">
        <f>TEXT(SalesData[[#This Row],[Date]],"MMM-YYY")</f>
        <v>Mar-2024</v>
      </c>
      <c r="U790" t="str">
        <f>TEXT(SalesData[[#This Row],[Date]],"YYYY")&amp;"  Q"&amp;INT(MONTH(SalesData[[#This Row],[Date]]/2)+3)</f>
        <v>2024  Q5</v>
      </c>
    </row>
    <row r="791" spans="1:21"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c r="T791" t="str">
        <f>TEXT(SalesData[[#This Row],[Date]],"MMM-YYY")</f>
        <v>Mar-2024</v>
      </c>
      <c r="U791" t="str">
        <f>TEXT(SalesData[[#This Row],[Date]],"YYYY")&amp;"  Q"&amp;INT(MONTH(SalesData[[#This Row],[Date]]/2)+3)</f>
        <v>2024  Q5</v>
      </c>
    </row>
    <row r="792" spans="1:21"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c r="T792" t="str">
        <f>TEXT(SalesData[[#This Row],[Date]],"MMM-YYY")</f>
        <v>Feb-2025</v>
      </c>
      <c r="U792" t="str">
        <f>TEXT(SalesData[[#This Row],[Date]],"YYYY")&amp;"  Q"&amp;INT(MONTH(SalesData[[#This Row],[Date]]/2)+3)</f>
        <v>2025  Q10</v>
      </c>
    </row>
    <row r="793" spans="1:21"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c r="T793" t="str">
        <f>TEXT(SalesData[[#This Row],[Date]],"MMM-YYY")</f>
        <v>Nov-2024</v>
      </c>
      <c r="U793" t="str">
        <f>TEXT(SalesData[[#This Row],[Date]],"YYYY")&amp;"  Q"&amp;INT(MONTH(SalesData[[#This Row],[Date]]/2)+3)</f>
        <v>2024  Q9</v>
      </c>
    </row>
    <row r="794" spans="1:21"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c r="T794" t="str">
        <f>TEXT(SalesData[[#This Row],[Date]],"MMM-YYY")</f>
        <v>Aug-2024</v>
      </c>
      <c r="U794" t="str">
        <f>TEXT(SalesData[[#This Row],[Date]],"YYYY")&amp;"  Q"&amp;INT(MONTH(SalesData[[#This Row],[Date]]/2)+3)</f>
        <v>2024  Q7</v>
      </c>
    </row>
    <row r="795" spans="1:21"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c r="T795" t="str">
        <f>TEXT(SalesData[[#This Row],[Date]],"MMM-YYY")</f>
        <v>Apr-2024</v>
      </c>
      <c r="U795" t="str">
        <f>TEXT(SalesData[[#This Row],[Date]],"YYYY")&amp;"  Q"&amp;INT(MONTH(SalesData[[#This Row],[Date]]/2)+3)</f>
        <v>2024  Q5</v>
      </c>
    </row>
    <row r="796" spans="1:21"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c r="T796" t="str">
        <f>TEXT(SalesData[[#This Row],[Date]],"MMM-YYY")</f>
        <v>Apr-2024</v>
      </c>
      <c r="U796" t="str">
        <f>TEXT(SalesData[[#This Row],[Date]],"YYYY")&amp;"  Q"&amp;INT(MONTH(SalesData[[#This Row],[Date]]/2)+3)</f>
        <v>2024  Q5</v>
      </c>
    </row>
    <row r="797" spans="1:21"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c r="T797" t="str">
        <f>TEXT(SalesData[[#This Row],[Date]],"MMM-YYY")</f>
        <v>Sep-2023</v>
      </c>
      <c r="U797" t="str">
        <f>TEXT(SalesData[[#This Row],[Date]],"YYYY")&amp;"  Q"&amp;INT(MONTH(SalesData[[#This Row],[Date]]/2)+3)</f>
        <v>2023  Q14</v>
      </c>
    </row>
    <row r="798" spans="1:21"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c r="T798" t="str">
        <f>TEXT(SalesData[[#This Row],[Date]],"MMM-YYY")</f>
        <v>Feb-2025</v>
      </c>
      <c r="U798" t="str">
        <f>TEXT(SalesData[[#This Row],[Date]],"YYYY")&amp;"  Q"&amp;INT(MONTH(SalesData[[#This Row],[Date]]/2)+3)</f>
        <v>2025  Q10</v>
      </c>
    </row>
    <row r="799" spans="1:21"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c r="T799" t="str">
        <f>TEXT(SalesData[[#This Row],[Date]],"MMM-YYY")</f>
        <v>Jun-2025</v>
      </c>
      <c r="U799" t="str">
        <f>TEXT(SalesData[[#This Row],[Date]],"YYYY")&amp;"  Q"&amp;INT(MONTH(SalesData[[#This Row],[Date]]/2)+3)</f>
        <v>2025  Q12</v>
      </c>
    </row>
    <row r="800" spans="1:21"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c r="T800" t="str">
        <f>TEXT(SalesData[[#This Row],[Date]],"MMM-YYY")</f>
        <v>Nov-2023</v>
      </c>
      <c r="U800" t="str">
        <f>TEXT(SalesData[[#This Row],[Date]],"YYYY")&amp;"  Q"&amp;INT(MONTH(SalesData[[#This Row],[Date]]/2)+3)</f>
        <v>2023  Q15</v>
      </c>
    </row>
    <row r="801" spans="1:21"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c r="T801" t="str">
        <f>TEXT(SalesData[[#This Row],[Date]],"MMM-YYY")</f>
        <v>Apr-2024</v>
      </c>
      <c r="U801" t="str">
        <f>TEXT(SalesData[[#This Row],[Date]],"YYYY")&amp;"  Q"&amp;INT(MONTH(SalesData[[#This Row],[Date]]/2)+3)</f>
        <v>2024  Q5</v>
      </c>
    </row>
    <row r="802" spans="1:21"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c r="T802" t="str">
        <f>TEXT(SalesData[[#This Row],[Date]],"MMM-YYY")</f>
        <v>Jan-2025</v>
      </c>
      <c r="U802" t="str">
        <f>TEXT(SalesData[[#This Row],[Date]],"YYYY")&amp;"  Q"&amp;INT(MONTH(SalesData[[#This Row],[Date]]/2)+3)</f>
        <v>2025  Q10</v>
      </c>
    </row>
    <row r="803" spans="1:21"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c r="T803" t="str">
        <f>TEXT(SalesData[[#This Row],[Date]],"MMM-YYY")</f>
        <v>Feb-2023</v>
      </c>
      <c r="U803" t="str">
        <f>TEXT(SalesData[[#This Row],[Date]],"YYYY")&amp;"  Q"&amp;INT(MONTH(SalesData[[#This Row],[Date]]/2)+3)</f>
        <v>2023  Q10</v>
      </c>
    </row>
    <row r="804" spans="1:21"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c r="T804" t="str">
        <f>TEXT(SalesData[[#This Row],[Date]],"MMM-YYY")</f>
        <v>Oct-2023</v>
      </c>
      <c r="U804" t="str">
        <f>TEXT(SalesData[[#This Row],[Date]],"YYYY")&amp;"  Q"&amp;INT(MONTH(SalesData[[#This Row],[Date]]/2)+3)</f>
        <v>2023  Q14</v>
      </c>
    </row>
    <row r="805" spans="1:21"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c r="T805" t="str">
        <f>TEXT(SalesData[[#This Row],[Date]],"MMM-YYY")</f>
        <v>Jun-2024</v>
      </c>
      <c r="U805" t="str">
        <f>TEXT(SalesData[[#This Row],[Date]],"YYYY")&amp;"  Q"&amp;INT(MONTH(SalesData[[#This Row],[Date]]/2)+3)</f>
        <v>2024  Q6</v>
      </c>
    </row>
    <row r="806" spans="1:21"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c r="T806" t="str">
        <f>TEXT(SalesData[[#This Row],[Date]],"MMM-YYY")</f>
        <v>Jun-2023</v>
      </c>
      <c r="U806" t="str">
        <f>TEXT(SalesData[[#This Row],[Date]],"YYYY")&amp;"  Q"&amp;INT(MONTH(SalesData[[#This Row],[Date]]/2)+3)</f>
        <v>2023  Q12</v>
      </c>
    </row>
    <row r="807" spans="1:21"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c r="T807" t="str">
        <f>TEXT(SalesData[[#This Row],[Date]],"MMM-YYY")</f>
        <v>Aug-2024</v>
      </c>
      <c r="U807" t="str">
        <f>TEXT(SalesData[[#This Row],[Date]],"YYYY")&amp;"  Q"&amp;INT(MONTH(SalesData[[#This Row],[Date]]/2)+3)</f>
        <v>2024  Q8</v>
      </c>
    </row>
    <row r="808" spans="1:21"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c r="T808" t="str">
        <f>TEXT(SalesData[[#This Row],[Date]],"MMM-YYY")</f>
        <v>Jan-2025</v>
      </c>
      <c r="U808" t="str">
        <f>TEXT(SalesData[[#This Row],[Date]],"YYYY")&amp;"  Q"&amp;INT(MONTH(SalesData[[#This Row],[Date]]/2)+3)</f>
        <v>2025  Q10</v>
      </c>
    </row>
    <row r="809" spans="1:21"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c r="T809" t="str">
        <f>TEXT(SalesData[[#This Row],[Date]],"MMM-YYY")</f>
        <v>Feb-2023</v>
      </c>
      <c r="U809" t="str">
        <f>TEXT(SalesData[[#This Row],[Date]],"YYYY")&amp;"  Q"&amp;INT(MONTH(SalesData[[#This Row],[Date]]/2)+3)</f>
        <v>2023  Q10</v>
      </c>
    </row>
    <row r="810" spans="1:21"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c r="T810" t="str">
        <f>TEXT(SalesData[[#This Row],[Date]],"MMM-YYY")</f>
        <v>Apr-2025</v>
      </c>
      <c r="U810" t="str">
        <f>TEXT(SalesData[[#This Row],[Date]],"YYYY")&amp;"  Q"&amp;INT(MONTH(SalesData[[#This Row],[Date]]/2)+3)</f>
        <v>2025  Q11</v>
      </c>
    </row>
    <row r="811" spans="1:21"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c r="T811" t="str">
        <f>TEXT(SalesData[[#This Row],[Date]],"MMM-YYY")</f>
        <v>Jun-2023</v>
      </c>
      <c r="U811" t="str">
        <f>TEXT(SalesData[[#This Row],[Date]],"YYYY")&amp;"  Q"&amp;INT(MONTH(SalesData[[#This Row],[Date]]/2)+3)</f>
        <v>2023  Q12</v>
      </c>
    </row>
    <row r="812" spans="1:21"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c r="T812" t="str">
        <f>TEXT(SalesData[[#This Row],[Date]],"MMM-YYY")</f>
        <v>Mar-2023</v>
      </c>
      <c r="U812" t="str">
        <f>TEXT(SalesData[[#This Row],[Date]],"YYYY")&amp;"  Q"&amp;INT(MONTH(SalesData[[#This Row],[Date]]/2)+3)</f>
        <v>2023  Q11</v>
      </c>
    </row>
    <row r="813" spans="1:21"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c r="T813" t="str">
        <f>TEXT(SalesData[[#This Row],[Date]],"MMM-YYY")</f>
        <v>Oct-2024</v>
      </c>
      <c r="U813" t="str">
        <f>TEXT(SalesData[[#This Row],[Date]],"YYYY")&amp;"  Q"&amp;INT(MONTH(SalesData[[#This Row],[Date]]/2)+3)</f>
        <v>2024  Q8</v>
      </c>
    </row>
    <row r="814" spans="1:21"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c r="T814" t="str">
        <f>TEXT(SalesData[[#This Row],[Date]],"MMM-YYY")</f>
        <v>May-2025</v>
      </c>
      <c r="U814" t="str">
        <f>TEXT(SalesData[[#This Row],[Date]],"YYYY")&amp;"  Q"&amp;INT(MONTH(SalesData[[#This Row],[Date]]/2)+3)</f>
        <v>2025  Q12</v>
      </c>
    </row>
    <row r="815" spans="1:21"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c r="T815" t="str">
        <f>TEXT(SalesData[[#This Row],[Date]],"MMM-YYY")</f>
        <v>May-2023</v>
      </c>
      <c r="U815" t="str">
        <f>TEXT(SalesData[[#This Row],[Date]],"YYYY")&amp;"  Q"&amp;INT(MONTH(SalesData[[#This Row],[Date]]/2)+3)</f>
        <v>2023  Q12</v>
      </c>
    </row>
    <row r="816" spans="1:21"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c r="T816" t="str">
        <f>TEXT(SalesData[[#This Row],[Date]],"MMM-YYY")</f>
        <v>Aug-2024</v>
      </c>
      <c r="U816" t="str">
        <f>TEXT(SalesData[[#This Row],[Date]],"YYYY")&amp;"  Q"&amp;INT(MONTH(SalesData[[#This Row],[Date]]/2)+3)</f>
        <v>2024  Q7</v>
      </c>
    </row>
    <row r="817" spans="1:21"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c r="T817" t="str">
        <f>TEXT(SalesData[[#This Row],[Date]],"MMM-YYY")</f>
        <v>Aug-2023</v>
      </c>
      <c r="U817" t="str">
        <f>TEXT(SalesData[[#This Row],[Date]],"YYYY")&amp;"  Q"&amp;INT(MONTH(SalesData[[#This Row],[Date]]/2)+3)</f>
        <v>2023  Q13</v>
      </c>
    </row>
    <row r="818" spans="1:21"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c r="T818" t="str">
        <f>TEXT(SalesData[[#This Row],[Date]],"MMM-YYY")</f>
        <v>Apr-2025</v>
      </c>
      <c r="U818" t="str">
        <f>TEXT(SalesData[[#This Row],[Date]],"YYYY")&amp;"  Q"&amp;INT(MONTH(SalesData[[#This Row],[Date]]/2)+3)</f>
        <v>2025  Q11</v>
      </c>
    </row>
    <row r="819" spans="1:21"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c r="T819" t="str">
        <f>TEXT(SalesData[[#This Row],[Date]],"MMM-YYY")</f>
        <v>Jun-2024</v>
      </c>
      <c r="U819" t="str">
        <f>TEXT(SalesData[[#This Row],[Date]],"YYYY")&amp;"  Q"&amp;INT(MONTH(SalesData[[#This Row],[Date]]/2)+3)</f>
        <v>2024  Q6</v>
      </c>
    </row>
    <row r="820" spans="1:21"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c r="T820" t="str">
        <f>TEXT(SalesData[[#This Row],[Date]],"MMM-YYY")</f>
        <v>Apr-2024</v>
      </c>
      <c r="U820" t="str">
        <f>TEXT(SalesData[[#This Row],[Date]],"YYYY")&amp;"  Q"&amp;INT(MONTH(SalesData[[#This Row],[Date]]/2)+3)</f>
        <v>2024  Q5</v>
      </c>
    </row>
    <row r="821" spans="1:21"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c r="T821" t="str">
        <f>TEXT(SalesData[[#This Row],[Date]],"MMM-YYY")</f>
        <v>Mar-2023</v>
      </c>
      <c r="U821" t="str">
        <f>TEXT(SalesData[[#This Row],[Date]],"YYYY")&amp;"  Q"&amp;INT(MONTH(SalesData[[#This Row],[Date]]/2)+3)</f>
        <v>2023  Q11</v>
      </c>
    </row>
    <row r="822" spans="1:21"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c r="T822" t="str">
        <f>TEXT(SalesData[[#This Row],[Date]],"MMM-YYY")</f>
        <v>Oct-2024</v>
      </c>
      <c r="U822" t="str">
        <f>TEXT(SalesData[[#This Row],[Date]],"YYYY")&amp;"  Q"&amp;INT(MONTH(SalesData[[#This Row],[Date]]/2)+3)</f>
        <v>2024  Q8</v>
      </c>
    </row>
    <row r="823" spans="1:21"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c r="T823" t="str">
        <f>TEXT(SalesData[[#This Row],[Date]],"MMM-YYY")</f>
        <v>Jun-2023</v>
      </c>
      <c r="U823" t="str">
        <f>TEXT(SalesData[[#This Row],[Date]],"YYYY")&amp;"  Q"&amp;INT(MONTH(SalesData[[#This Row],[Date]]/2)+3)</f>
        <v>2023  Q12</v>
      </c>
    </row>
    <row r="824" spans="1:21"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c r="T824" t="str">
        <f>TEXT(SalesData[[#This Row],[Date]],"MMM-YYY")</f>
        <v>May-2023</v>
      </c>
      <c r="U824" t="str">
        <f>TEXT(SalesData[[#This Row],[Date]],"YYYY")&amp;"  Q"&amp;INT(MONTH(SalesData[[#This Row],[Date]]/2)+3)</f>
        <v>2023  Q12</v>
      </c>
    </row>
    <row r="825" spans="1:21"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c r="T825" t="str">
        <f>TEXT(SalesData[[#This Row],[Date]],"MMM-YYY")</f>
        <v>Oct-2024</v>
      </c>
      <c r="U825" t="str">
        <f>TEXT(SalesData[[#This Row],[Date]],"YYYY")&amp;"  Q"&amp;INT(MONTH(SalesData[[#This Row],[Date]]/2)+3)</f>
        <v>2024  Q8</v>
      </c>
    </row>
    <row r="826" spans="1:21"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c r="T826" t="str">
        <f>TEXT(SalesData[[#This Row],[Date]],"MMM-YYY")</f>
        <v>Apr-2024</v>
      </c>
      <c r="U826" t="str">
        <f>TEXT(SalesData[[#This Row],[Date]],"YYYY")&amp;"  Q"&amp;INT(MONTH(SalesData[[#This Row],[Date]]/2)+3)</f>
        <v>2024  Q5</v>
      </c>
    </row>
    <row r="827" spans="1:21"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c r="T827" t="str">
        <f>TEXT(SalesData[[#This Row],[Date]],"MMM-YYY")</f>
        <v>Jan-2025</v>
      </c>
      <c r="U827" t="str">
        <f>TEXT(SalesData[[#This Row],[Date]],"YYYY")&amp;"  Q"&amp;INT(MONTH(SalesData[[#This Row],[Date]]/2)+3)</f>
        <v>2025  Q10</v>
      </c>
    </row>
    <row r="828" spans="1:21"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c r="T828" t="str">
        <f>TEXT(SalesData[[#This Row],[Date]],"MMM-YYY")</f>
        <v>Jul-2023</v>
      </c>
      <c r="U828" t="str">
        <f>TEXT(SalesData[[#This Row],[Date]],"YYYY")&amp;"  Q"&amp;INT(MONTH(SalesData[[#This Row],[Date]]/2)+3)</f>
        <v>2023  Q13</v>
      </c>
    </row>
    <row r="829" spans="1:21"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c r="T829" t="str">
        <f>TEXT(SalesData[[#This Row],[Date]],"MMM-YYY")</f>
        <v>Sep-2023</v>
      </c>
      <c r="U829" t="str">
        <f>TEXT(SalesData[[#This Row],[Date]],"YYYY")&amp;"  Q"&amp;INT(MONTH(SalesData[[#This Row],[Date]]/2)+3)</f>
        <v>2023  Q14</v>
      </c>
    </row>
    <row r="830" spans="1:21"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c r="T830" t="str">
        <f>TEXT(SalesData[[#This Row],[Date]],"MMM-YYY")</f>
        <v>Apr-2024</v>
      </c>
      <c r="U830" t="str">
        <f>TEXT(SalesData[[#This Row],[Date]],"YYYY")&amp;"  Q"&amp;INT(MONTH(SalesData[[#This Row],[Date]]/2)+3)</f>
        <v>2024  Q5</v>
      </c>
    </row>
    <row r="831" spans="1:21"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c r="T831" t="str">
        <f>TEXT(SalesData[[#This Row],[Date]],"MMM-YYY")</f>
        <v>Feb-2025</v>
      </c>
      <c r="U831" t="str">
        <f>TEXT(SalesData[[#This Row],[Date]],"YYYY")&amp;"  Q"&amp;INT(MONTH(SalesData[[#This Row],[Date]]/2)+3)</f>
        <v>2025  Q10</v>
      </c>
    </row>
    <row r="832" spans="1:21"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c r="T832" t="str">
        <f>TEXT(SalesData[[#This Row],[Date]],"MMM-YYY")</f>
        <v>Jun-2023</v>
      </c>
      <c r="U832" t="str">
        <f>TEXT(SalesData[[#This Row],[Date]],"YYYY")&amp;"  Q"&amp;INT(MONTH(SalesData[[#This Row],[Date]]/2)+3)</f>
        <v>2023  Q12</v>
      </c>
    </row>
    <row r="833" spans="1:21"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c r="T833" t="str">
        <f>TEXT(SalesData[[#This Row],[Date]],"MMM-YYY")</f>
        <v>Nov-2024</v>
      </c>
      <c r="U833" t="str">
        <f>TEXT(SalesData[[#This Row],[Date]],"YYYY")&amp;"  Q"&amp;INT(MONTH(SalesData[[#This Row],[Date]]/2)+3)</f>
        <v>2024  Q9</v>
      </c>
    </row>
    <row r="834" spans="1:21"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c r="T834" t="str">
        <f>TEXT(SalesData[[#This Row],[Date]],"MMM-YYY")</f>
        <v>Aug-2024</v>
      </c>
      <c r="U834" t="str">
        <f>TEXT(SalesData[[#This Row],[Date]],"YYYY")&amp;"  Q"&amp;INT(MONTH(SalesData[[#This Row],[Date]]/2)+3)</f>
        <v>2024  Q7</v>
      </c>
    </row>
    <row r="835" spans="1:21"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c r="T835" t="str">
        <f>TEXT(SalesData[[#This Row],[Date]],"MMM-YYY")</f>
        <v>Apr-2025</v>
      </c>
      <c r="U835" t="str">
        <f>TEXT(SalesData[[#This Row],[Date]],"YYYY")&amp;"  Q"&amp;INT(MONTH(SalesData[[#This Row],[Date]]/2)+3)</f>
        <v>2025  Q11</v>
      </c>
    </row>
    <row r="836" spans="1:21"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c r="T836" t="str">
        <f>TEXT(SalesData[[#This Row],[Date]],"MMM-YYY")</f>
        <v>Jul-2024</v>
      </c>
      <c r="U836" t="str">
        <f>TEXT(SalesData[[#This Row],[Date]],"YYYY")&amp;"  Q"&amp;INT(MONTH(SalesData[[#This Row],[Date]]/2)+3)</f>
        <v>2024  Q7</v>
      </c>
    </row>
    <row r="837" spans="1:21"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c r="T837" t="str">
        <f>TEXT(SalesData[[#This Row],[Date]],"MMM-YYY")</f>
        <v>Feb-2023</v>
      </c>
      <c r="U837" t="str">
        <f>TEXT(SalesData[[#This Row],[Date]],"YYYY")&amp;"  Q"&amp;INT(MONTH(SalesData[[#This Row],[Date]]/2)+3)</f>
        <v>2023  Q10</v>
      </c>
    </row>
    <row r="838" spans="1:21"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c r="T838" t="str">
        <f>TEXT(SalesData[[#This Row],[Date]],"MMM-YYY")</f>
        <v>Jul-2024</v>
      </c>
      <c r="U838" t="str">
        <f>TEXT(SalesData[[#This Row],[Date]],"YYYY")&amp;"  Q"&amp;INT(MONTH(SalesData[[#This Row],[Date]]/2)+3)</f>
        <v>2024  Q7</v>
      </c>
    </row>
    <row r="839" spans="1:21"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c r="T839" t="str">
        <f>TEXT(SalesData[[#This Row],[Date]],"MMM-YYY")</f>
        <v>Apr-2025</v>
      </c>
      <c r="U839" t="str">
        <f>TEXT(SalesData[[#This Row],[Date]],"YYYY")&amp;"  Q"&amp;INT(MONTH(SalesData[[#This Row],[Date]]/2)+3)</f>
        <v>2025  Q11</v>
      </c>
    </row>
    <row r="840" spans="1:21"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c r="T840" t="str">
        <f>TEXT(SalesData[[#This Row],[Date]],"MMM-YYY")</f>
        <v>Jun-2025</v>
      </c>
      <c r="U840" t="str">
        <f>TEXT(SalesData[[#This Row],[Date]],"YYYY")&amp;"  Q"&amp;INT(MONTH(SalesData[[#This Row],[Date]]/2)+3)</f>
        <v>2025  Q12</v>
      </c>
    </row>
    <row r="841" spans="1:21"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c r="T841" t="str">
        <f>TEXT(SalesData[[#This Row],[Date]],"MMM-YYY")</f>
        <v>Nov-2024</v>
      </c>
      <c r="U841" t="str">
        <f>TEXT(SalesData[[#This Row],[Date]],"YYYY")&amp;"  Q"&amp;INT(MONTH(SalesData[[#This Row],[Date]]/2)+3)</f>
        <v>2024  Q9</v>
      </c>
    </row>
    <row r="842" spans="1:21"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c r="T842" t="str">
        <f>TEXT(SalesData[[#This Row],[Date]],"MMM-YYY")</f>
        <v>Jan-2024</v>
      </c>
      <c r="U842" t="str">
        <f>TEXT(SalesData[[#This Row],[Date]],"YYYY")&amp;"  Q"&amp;INT(MONTH(SalesData[[#This Row],[Date]]/2)+3)</f>
        <v>2024  Q4</v>
      </c>
    </row>
    <row r="843" spans="1:21"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c r="T843" t="str">
        <f>TEXT(SalesData[[#This Row],[Date]],"MMM-YYY")</f>
        <v>Oct-2023</v>
      </c>
      <c r="U843" t="str">
        <f>TEXT(SalesData[[#This Row],[Date]],"YYYY")&amp;"  Q"&amp;INT(MONTH(SalesData[[#This Row],[Date]]/2)+3)</f>
        <v>2023  Q14</v>
      </c>
    </row>
    <row r="844" spans="1:21"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c r="T844" t="str">
        <f>TEXT(SalesData[[#This Row],[Date]],"MMM-YYY")</f>
        <v>Jan-2025</v>
      </c>
      <c r="U844" t="str">
        <f>TEXT(SalesData[[#This Row],[Date]],"YYYY")&amp;"  Q"&amp;INT(MONTH(SalesData[[#This Row],[Date]]/2)+3)</f>
        <v>2025  Q10</v>
      </c>
    </row>
    <row r="845" spans="1:21"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c r="T845" t="str">
        <f>TEXT(SalesData[[#This Row],[Date]],"MMM-YYY")</f>
        <v>Nov-2024</v>
      </c>
      <c r="U845" t="str">
        <f>TEXT(SalesData[[#This Row],[Date]],"YYYY")&amp;"  Q"&amp;INT(MONTH(SalesData[[#This Row],[Date]]/2)+3)</f>
        <v>2024  Q9</v>
      </c>
    </row>
    <row r="846" spans="1:21"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c r="T846" t="str">
        <f>TEXT(SalesData[[#This Row],[Date]],"MMM-YYY")</f>
        <v>Apr-2024</v>
      </c>
      <c r="U846" t="str">
        <f>TEXT(SalesData[[#This Row],[Date]],"YYYY")&amp;"  Q"&amp;INT(MONTH(SalesData[[#This Row],[Date]]/2)+3)</f>
        <v>2024  Q5</v>
      </c>
    </row>
    <row r="847" spans="1:21"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c r="T847" t="str">
        <f>TEXT(SalesData[[#This Row],[Date]],"MMM-YYY")</f>
        <v>Jan-2024</v>
      </c>
      <c r="U847" t="str">
        <f>TEXT(SalesData[[#This Row],[Date]],"YYYY")&amp;"  Q"&amp;INT(MONTH(SalesData[[#This Row],[Date]]/2)+3)</f>
        <v>2024  Q4</v>
      </c>
    </row>
    <row r="848" spans="1:21"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c r="T848" t="str">
        <f>TEXT(SalesData[[#This Row],[Date]],"MMM-YYY")</f>
        <v>Aug-2023</v>
      </c>
      <c r="U848" t="str">
        <f>TEXT(SalesData[[#This Row],[Date]],"YYYY")&amp;"  Q"&amp;INT(MONTH(SalesData[[#This Row],[Date]]/2)+3)</f>
        <v>2023  Q13</v>
      </c>
    </row>
    <row r="849" spans="1:21"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c r="T849" t="str">
        <f>TEXT(SalesData[[#This Row],[Date]],"MMM-YYY")</f>
        <v>Nov-2023</v>
      </c>
      <c r="U849" t="str">
        <f>TEXT(SalesData[[#This Row],[Date]],"YYYY")&amp;"  Q"&amp;INT(MONTH(SalesData[[#This Row],[Date]]/2)+3)</f>
        <v>2023  Q15</v>
      </c>
    </row>
    <row r="850" spans="1:21"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c r="T850" t="str">
        <f>TEXT(SalesData[[#This Row],[Date]],"MMM-YYY")</f>
        <v>Apr-2025</v>
      </c>
      <c r="U850" t="str">
        <f>TEXT(SalesData[[#This Row],[Date]],"YYYY")&amp;"  Q"&amp;INT(MONTH(SalesData[[#This Row],[Date]]/2)+3)</f>
        <v>2025  Q11</v>
      </c>
    </row>
    <row r="851" spans="1:21"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c r="T851" t="str">
        <f>TEXT(SalesData[[#This Row],[Date]],"MMM-YYY")</f>
        <v>Dec-2023</v>
      </c>
      <c r="U851" t="str">
        <f>TEXT(SalesData[[#This Row],[Date]],"YYYY")&amp;"  Q"&amp;INT(MONTH(SalesData[[#This Row],[Date]]/2)+3)</f>
        <v>2023  Q15</v>
      </c>
    </row>
    <row r="852" spans="1:21"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c r="T852" t="str">
        <f>TEXT(SalesData[[#This Row],[Date]],"MMM-YYY")</f>
        <v>Jan-2025</v>
      </c>
      <c r="U852" t="str">
        <f>TEXT(SalesData[[#This Row],[Date]],"YYYY")&amp;"  Q"&amp;INT(MONTH(SalesData[[#This Row],[Date]]/2)+3)</f>
        <v>2025  Q10</v>
      </c>
    </row>
    <row r="853" spans="1:21"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c r="T853" t="str">
        <f>TEXT(SalesData[[#This Row],[Date]],"MMM-YYY")</f>
        <v>May-2024</v>
      </c>
      <c r="U853" t="str">
        <f>TEXT(SalesData[[#This Row],[Date]],"YYYY")&amp;"  Q"&amp;INT(MONTH(SalesData[[#This Row],[Date]]/2)+3)</f>
        <v>2024  Q6</v>
      </c>
    </row>
    <row r="854" spans="1:21"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c r="T854" t="str">
        <f>TEXT(SalesData[[#This Row],[Date]],"MMM-YYY")</f>
        <v>Sep-2024</v>
      </c>
      <c r="U854" t="str">
        <f>TEXT(SalesData[[#This Row],[Date]],"YYYY")&amp;"  Q"&amp;INT(MONTH(SalesData[[#This Row],[Date]]/2)+3)</f>
        <v>2024  Q8</v>
      </c>
    </row>
    <row r="855" spans="1:21"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c r="T855" t="str">
        <f>TEXT(SalesData[[#This Row],[Date]],"MMM-YYY")</f>
        <v>Feb-2023</v>
      </c>
      <c r="U855" t="str">
        <f>TEXT(SalesData[[#This Row],[Date]],"YYYY")&amp;"  Q"&amp;INT(MONTH(SalesData[[#This Row],[Date]]/2)+3)</f>
        <v>2023  Q10</v>
      </c>
    </row>
    <row r="856" spans="1:21"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c r="T856" t="str">
        <f>TEXT(SalesData[[#This Row],[Date]],"MMM-YYY")</f>
        <v>Mar-2023</v>
      </c>
      <c r="U856" t="str">
        <f>TEXT(SalesData[[#This Row],[Date]],"YYYY")&amp;"  Q"&amp;INT(MONTH(SalesData[[#This Row],[Date]]/2)+3)</f>
        <v>2023  Q10</v>
      </c>
    </row>
    <row r="857" spans="1:21"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c r="T857" t="str">
        <f>TEXT(SalesData[[#This Row],[Date]],"MMM-YYY")</f>
        <v>May-2024</v>
      </c>
      <c r="U857" t="str">
        <f>TEXT(SalesData[[#This Row],[Date]],"YYYY")&amp;"  Q"&amp;INT(MONTH(SalesData[[#This Row],[Date]]/2)+3)</f>
        <v>2024  Q6</v>
      </c>
    </row>
    <row r="858" spans="1:21"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c r="T858" t="str">
        <f>TEXT(SalesData[[#This Row],[Date]],"MMM-YYY")</f>
        <v>Jun-2024</v>
      </c>
      <c r="U858" t="str">
        <f>TEXT(SalesData[[#This Row],[Date]],"YYYY")&amp;"  Q"&amp;INT(MONTH(SalesData[[#This Row],[Date]]/2)+3)</f>
        <v>2024  Q6</v>
      </c>
    </row>
    <row r="859" spans="1:21"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c r="T859" t="str">
        <f>TEXT(SalesData[[#This Row],[Date]],"MMM-YYY")</f>
        <v>Apr-2023</v>
      </c>
      <c r="U859" t="str">
        <f>TEXT(SalesData[[#This Row],[Date]],"YYYY")&amp;"  Q"&amp;INT(MONTH(SalesData[[#This Row],[Date]]/2)+3)</f>
        <v>2023  Q11</v>
      </c>
    </row>
    <row r="860" spans="1:21"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c r="T860" t="str">
        <f>TEXT(SalesData[[#This Row],[Date]],"MMM-YYY")</f>
        <v>Sep-2023</v>
      </c>
      <c r="U860" t="str">
        <f>TEXT(SalesData[[#This Row],[Date]],"YYYY")&amp;"  Q"&amp;INT(MONTH(SalesData[[#This Row],[Date]]/2)+3)</f>
        <v>2023  Q14</v>
      </c>
    </row>
    <row r="861" spans="1:21"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c r="T861" t="str">
        <f>TEXT(SalesData[[#This Row],[Date]],"MMM-YYY")</f>
        <v>Nov-2024</v>
      </c>
      <c r="U861" t="str">
        <f>TEXT(SalesData[[#This Row],[Date]],"YYYY")&amp;"  Q"&amp;INT(MONTH(SalesData[[#This Row],[Date]]/2)+3)</f>
        <v>2024  Q9</v>
      </c>
    </row>
    <row r="862" spans="1:21"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c r="T862" t="str">
        <f>TEXT(SalesData[[#This Row],[Date]],"MMM-YYY")</f>
        <v>Mar-2023</v>
      </c>
      <c r="U862" t="str">
        <f>TEXT(SalesData[[#This Row],[Date]],"YYYY")&amp;"  Q"&amp;INT(MONTH(SalesData[[#This Row],[Date]]/2)+3)</f>
        <v>2023  Q11</v>
      </c>
    </row>
    <row r="863" spans="1:21"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c r="T863" t="str">
        <f>TEXT(SalesData[[#This Row],[Date]],"MMM-YYY")</f>
        <v>Sep-2023</v>
      </c>
      <c r="U863" t="str">
        <f>TEXT(SalesData[[#This Row],[Date]],"YYYY")&amp;"  Q"&amp;INT(MONTH(SalesData[[#This Row],[Date]]/2)+3)</f>
        <v>2023  Q14</v>
      </c>
    </row>
    <row r="864" spans="1:21"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c r="T864" t="str">
        <f>TEXT(SalesData[[#This Row],[Date]],"MMM-YYY")</f>
        <v>Feb-2023</v>
      </c>
      <c r="U864" t="str">
        <f>TEXT(SalesData[[#This Row],[Date]],"YYYY")&amp;"  Q"&amp;INT(MONTH(SalesData[[#This Row],[Date]]/2)+3)</f>
        <v>2023  Q10</v>
      </c>
    </row>
    <row r="865" spans="1:21"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c r="T865" t="str">
        <f>TEXT(SalesData[[#This Row],[Date]],"MMM-YYY")</f>
        <v>Nov-2024</v>
      </c>
      <c r="U865" t="str">
        <f>TEXT(SalesData[[#This Row],[Date]],"YYYY")&amp;"  Q"&amp;INT(MONTH(SalesData[[#This Row],[Date]]/2)+3)</f>
        <v>2024  Q9</v>
      </c>
    </row>
    <row r="866" spans="1:21"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c r="T866" t="str">
        <f>TEXT(SalesData[[#This Row],[Date]],"MMM-YYY")</f>
        <v>Oct-2024</v>
      </c>
      <c r="U866" t="str">
        <f>TEXT(SalesData[[#This Row],[Date]],"YYYY")&amp;"  Q"&amp;INT(MONTH(SalesData[[#This Row],[Date]]/2)+3)</f>
        <v>2024  Q8</v>
      </c>
    </row>
    <row r="867" spans="1:21"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c r="T867" t="str">
        <f>TEXT(SalesData[[#This Row],[Date]],"MMM-YYY")</f>
        <v>May-2023</v>
      </c>
      <c r="U867" t="str">
        <f>TEXT(SalesData[[#This Row],[Date]],"YYYY")&amp;"  Q"&amp;INT(MONTH(SalesData[[#This Row],[Date]]/2)+3)</f>
        <v>2023  Q12</v>
      </c>
    </row>
    <row r="868" spans="1:21"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c r="T868" t="str">
        <f>TEXT(SalesData[[#This Row],[Date]],"MMM-YYY")</f>
        <v>Mar-2024</v>
      </c>
      <c r="U868" t="str">
        <f>TEXT(SalesData[[#This Row],[Date]],"YYYY")&amp;"  Q"&amp;INT(MONTH(SalesData[[#This Row],[Date]]/2)+3)</f>
        <v>2024  Q5</v>
      </c>
    </row>
    <row r="869" spans="1:21"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c r="T869" t="str">
        <f>TEXT(SalesData[[#This Row],[Date]],"MMM-YYY")</f>
        <v>Apr-2023</v>
      </c>
      <c r="U869" t="str">
        <f>TEXT(SalesData[[#This Row],[Date]],"YYYY")&amp;"  Q"&amp;INT(MONTH(SalesData[[#This Row],[Date]]/2)+3)</f>
        <v>2023  Q11</v>
      </c>
    </row>
    <row r="870" spans="1:21"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c r="T870" t="str">
        <f>TEXT(SalesData[[#This Row],[Date]],"MMM-YYY")</f>
        <v>Jun-2025</v>
      </c>
      <c r="U870" t="str">
        <f>TEXT(SalesData[[#This Row],[Date]],"YYYY")&amp;"  Q"&amp;INT(MONTH(SalesData[[#This Row],[Date]]/2)+3)</f>
        <v>2025  Q12</v>
      </c>
    </row>
    <row r="871" spans="1:21"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c r="T871" t="str">
        <f>TEXT(SalesData[[#This Row],[Date]],"MMM-YYY")</f>
        <v>Jan-2023</v>
      </c>
      <c r="U871" t="str">
        <f>TEXT(SalesData[[#This Row],[Date]],"YYYY")&amp;"  Q"&amp;INT(MONTH(SalesData[[#This Row],[Date]]/2)+3)</f>
        <v>2023  Q10</v>
      </c>
    </row>
    <row r="872" spans="1:21"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c r="T872" t="str">
        <f>TEXT(SalesData[[#This Row],[Date]],"MMM-YYY")</f>
        <v>Sep-2023</v>
      </c>
      <c r="U872" t="str">
        <f>TEXT(SalesData[[#This Row],[Date]],"YYYY")&amp;"  Q"&amp;INT(MONTH(SalesData[[#This Row],[Date]]/2)+3)</f>
        <v>2023  Q14</v>
      </c>
    </row>
    <row r="873" spans="1:21"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c r="T873" t="str">
        <f>TEXT(SalesData[[#This Row],[Date]],"MMM-YYY")</f>
        <v>Oct-2024</v>
      </c>
      <c r="U873" t="str">
        <f>TEXT(SalesData[[#This Row],[Date]],"YYYY")&amp;"  Q"&amp;INT(MONTH(SalesData[[#This Row],[Date]]/2)+3)</f>
        <v>2024  Q8</v>
      </c>
    </row>
    <row r="874" spans="1:21"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c r="T874" t="str">
        <f>TEXT(SalesData[[#This Row],[Date]],"MMM-YYY")</f>
        <v>Apr-2025</v>
      </c>
      <c r="U874" t="str">
        <f>TEXT(SalesData[[#This Row],[Date]],"YYYY")&amp;"  Q"&amp;INT(MONTH(SalesData[[#This Row],[Date]]/2)+3)</f>
        <v>2025  Q11</v>
      </c>
    </row>
    <row r="875" spans="1:21"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c r="T875" t="str">
        <f>TEXT(SalesData[[#This Row],[Date]],"MMM-YYY")</f>
        <v>Aug-2024</v>
      </c>
      <c r="U875" t="str">
        <f>TEXT(SalesData[[#This Row],[Date]],"YYYY")&amp;"  Q"&amp;INT(MONTH(SalesData[[#This Row],[Date]]/2)+3)</f>
        <v>2024  Q7</v>
      </c>
    </row>
    <row r="876" spans="1:21"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c r="T876" t="str">
        <f>TEXT(SalesData[[#This Row],[Date]],"MMM-YYY")</f>
        <v>Mar-2024</v>
      </c>
      <c r="U876" t="str">
        <f>TEXT(SalesData[[#This Row],[Date]],"YYYY")&amp;"  Q"&amp;INT(MONTH(SalesData[[#This Row],[Date]]/2)+3)</f>
        <v>2024  Q5</v>
      </c>
    </row>
    <row r="877" spans="1:21"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c r="T877" t="str">
        <f>TEXT(SalesData[[#This Row],[Date]],"MMM-YYY")</f>
        <v>Mar-2023</v>
      </c>
      <c r="U877" t="str">
        <f>TEXT(SalesData[[#This Row],[Date]],"YYYY")&amp;"  Q"&amp;INT(MONTH(SalesData[[#This Row],[Date]]/2)+3)</f>
        <v>2023  Q11</v>
      </c>
    </row>
    <row r="878" spans="1:21"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c r="T878" t="str">
        <f>TEXT(SalesData[[#This Row],[Date]],"MMM-YYY")</f>
        <v>Jan-2024</v>
      </c>
      <c r="U878" t="str">
        <f>TEXT(SalesData[[#This Row],[Date]],"YYYY")&amp;"  Q"&amp;INT(MONTH(SalesData[[#This Row],[Date]]/2)+3)</f>
        <v>2024  Q4</v>
      </c>
    </row>
    <row r="879" spans="1:21"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c r="T879" t="str">
        <f>TEXT(SalesData[[#This Row],[Date]],"MMM-YYY")</f>
        <v>Jul-2023</v>
      </c>
      <c r="U879" t="str">
        <f>TEXT(SalesData[[#This Row],[Date]],"YYYY")&amp;"  Q"&amp;INT(MONTH(SalesData[[#This Row],[Date]]/2)+3)</f>
        <v>2023  Q13</v>
      </c>
    </row>
    <row r="880" spans="1:21"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c r="T880" t="str">
        <f>TEXT(SalesData[[#This Row],[Date]],"MMM-YYY")</f>
        <v>Feb-2025</v>
      </c>
      <c r="U880" t="str">
        <f>TEXT(SalesData[[#This Row],[Date]],"YYYY")&amp;"  Q"&amp;INT(MONTH(SalesData[[#This Row],[Date]]/2)+3)</f>
        <v>2025  Q10</v>
      </c>
    </row>
    <row r="881" spans="1:21"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c r="T881" t="str">
        <f>TEXT(SalesData[[#This Row],[Date]],"MMM-YYY")</f>
        <v>Feb-2023</v>
      </c>
      <c r="U881" t="str">
        <f>TEXT(SalesData[[#This Row],[Date]],"YYYY")&amp;"  Q"&amp;INT(MONTH(SalesData[[#This Row],[Date]]/2)+3)</f>
        <v>2023  Q10</v>
      </c>
    </row>
    <row r="882" spans="1:21"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c r="T882" t="str">
        <f>TEXT(SalesData[[#This Row],[Date]],"MMM-YYY")</f>
        <v>Oct-2024</v>
      </c>
      <c r="U882" t="str">
        <f>TEXT(SalesData[[#This Row],[Date]],"YYYY")&amp;"  Q"&amp;INT(MONTH(SalesData[[#This Row],[Date]]/2)+3)</f>
        <v>2024  Q8</v>
      </c>
    </row>
    <row r="883" spans="1:21"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c r="T883" t="str">
        <f>TEXT(SalesData[[#This Row],[Date]],"MMM-YYY")</f>
        <v>Oct-2023</v>
      </c>
      <c r="U883" t="str">
        <f>TEXT(SalesData[[#This Row],[Date]],"YYYY")&amp;"  Q"&amp;INT(MONTH(SalesData[[#This Row],[Date]]/2)+3)</f>
        <v>2023  Q14</v>
      </c>
    </row>
    <row r="884" spans="1:21"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c r="T884" t="str">
        <f>TEXT(SalesData[[#This Row],[Date]],"MMM-YYY")</f>
        <v>Jan-2023</v>
      </c>
      <c r="U884" t="str">
        <f>TEXT(SalesData[[#This Row],[Date]],"YYYY")&amp;"  Q"&amp;INT(MONTH(SalesData[[#This Row],[Date]]/2)+3)</f>
        <v>2023  Q10</v>
      </c>
    </row>
    <row r="885" spans="1:21"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c r="T885" t="str">
        <f>TEXT(SalesData[[#This Row],[Date]],"MMM-YYY")</f>
        <v>Mar-2024</v>
      </c>
      <c r="U885" t="str">
        <f>TEXT(SalesData[[#This Row],[Date]],"YYYY")&amp;"  Q"&amp;INT(MONTH(SalesData[[#This Row],[Date]]/2)+3)</f>
        <v>2024  Q5</v>
      </c>
    </row>
    <row r="886" spans="1:21"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c r="T886" t="str">
        <f>TEXT(SalesData[[#This Row],[Date]],"MMM-YYY")</f>
        <v>Dec-2023</v>
      </c>
      <c r="U886" t="str">
        <f>TEXT(SalesData[[#This Row],[Date]],"YYYY")&amp;"  Q"&amp;INT(MONTH(SalesData[[#This Row],[Date]]/2)+3)</f>
        <v>2023  Q15</v>
      </c>
    </row>
    <row r="887" spans="1:21"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c r="T887" t="str">
        <f>TEXT(SalesData[[#This Row],[Date]],"MMM-YYY")</f>
        <v>Dec-2024</v>
      </c>
      <c r="U887" t="str">
        <f>TEXT(SalesData[[#This Row],[Date]],"YYYY")&amp;"  Q"&amp;INT(MONTH(SalesData[[#This Row],[Date]]/2)+3)</f>
        <v>2024  Q9</v>
      </c>
    </row>
    <row r="888" spans="1:21"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c r="T888" t="str">
        <f>TEXT(SalesData[[#This Row],[Date]],"MMM-YYY")</f>
        <v>May-2023</v>
      </c>
      <c r="U888" t="str">
        <f>TEXT(SalesData[[#This Row],[Date]],"YYYY")&amp;"  Q"&amp;INT(MONTH(SalesData[[#This Row],[Date]]/2)+3)</f>
        <v>2023  Q12</v>
      </c>
    </row>
    <row r="889" spans="1:21"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c r="T889" t="str">
        <f>TEXT(SalesData[[#This Row],[Date]],"MMM-YYY")</f>
        <v>Oct-2023</v>
      </c>
      <c r="U889" t="str">
        <f>TEXT(SalesData[[#This Row],[Date]],"YYYY")&amp;"  Q"&amp;INT(MONTH(SalesData[[#This Row],[Date]]/2)+3)</f>
        <v>2023  Q14</v>
      </c>
    </row>
    <row r="890" spans="1:21"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c r="T890" t="str">
        <f>TEXT(SalesData[[#This Row],[Date]],"MMM-YYY")</f>
        <v>Dec-2024</v>
      </c>
      <c r="U890" t="str">
        <f>TEXT(SalesData[[#This Row],[Date]],"YYYY")&amp;"  Q"&amp;INT(MONTH(SalesData[[#This Row],[Date]]/2)+3)</f>
        <v>2024  Q9</v>
      </c>
    </row>
    <row r="891" spans="1:21"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c r="T891" t="str">
        <f>TEXT(SalesData[[#This Row],[Date]],"MMM-YYY")</f>
        <v>Oct-2024</v>
      </c>
      <c r="U891" t="str">
        <f>TEXT(SalesData[[#This Row],[Date]],"YYYY")&amp;"  Q"&amp;INT(MONTH(SalesData[[#This Row],[Date]]/2)+3)</f>
        <v>2024  Q8</v>
      </c>
    </row>
    <row r="892" spans="1:21"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c r="T892" t="str">
        <f>TEXT(SalesData[[#This Row],[Date]],"MMM-YYY")</f>
        <v>Jun-2024</v>
      </c>
      <c r="U892" t="str">
        <f>TEXT(SalesData[[#This Row],[Date]],"YYYY")&amp;"  Q"&amp;INT(MONTH(SalesData[[#This Row],[Date]]/2)+3)</f>
        <v>2024  Q6</v>
      </c>
    </row>
    <row r="893" spans="1:21"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c r="T893" t="str">
        <f>TEXT(SalesData[[#This Row],[Date]],"MMM-YYY")</f>
        <v>Mar-2025</v>
      </c>
      <c r="U893" t="str">
        <f>TEXT(SalesData[[#This Row],[Date]],"YYYY")&amp;"  Q"&amp;INT(MONTH(SalesData[[#This Row],[Date]]/2)+3)</f>
        <v>2025  Q11</v>
      </c>
    </row>
    <row r="894" spans="1:21"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c r="T894" t="str">
        <f>TEXT(SalesData[[#This Row],[Date]],"MMM-YYY")</f>
        <v>Apr-2024</v>
      </c>
      <c r="U894" t="str">
        <f>TEXT(SalesData[[#This Row],[Date]],"YYYY")&amp;"  Q"&amp;INT(MONTH(SalesData[[#This Row],[Date]]/2)+3)</f>
        <v>2024  Q5</v>
      </c>
    </row>
    <row r="895" spans="1:21"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c r="T895" t="str">
        <f>TEXT(SalesData[[#This Row],[Date]],"MMM-YYY")</f>
        <v>May-2023</v>
      </c>
      <c r="U895" t="str">
        <f>TEXT(SalesData[[#This Row],[Date]],"YYYY")&amp;"  Q"&amp;INT(MONTH(SalesData[[#This Row],[Date]]/2)+3)</f>
        <v>2023  Q12</v>
      </c>
    </row>
    <row r="896" spans="1:21"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c r="T896" t="str">
        <f>TEXT(SalesData[[#This Row],[Date]],"MMM-YYY")</f>
        <v>Sep-2023</v>
      </c>
      <c r="U896" t="str">
        <f>TEXT(SalesData[[#This Row],[Date]],"YYYY")&amp;"  Q"&amp;INT(MONTH(SalesData[[#This Row],[Date]]/2)+3)</f>
        <v>2023  Q14</v>
      </c>
    </row>
    <row r="897" spans="1:21"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c r="T897" t="str">
        <f>TEXT(SalesData[[#This Row],[Date]],"MMM-YYY")</f>
        <v>Mar-2025</v>
      </c>
      <c r="U897" t="str">
        <f>TEXT(SalesData[[#This Row],[Date]],"YYYY")&amp;"  Q"&amp;INT(MONTH(SalesData[[#This Row],[Date]]/2)+3)</f>
        <v>2025  Q11</v>
      </c>
    </row>
    <row r="898" spans="1:21"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c r="T898" t="str">
        <f>TEXT(SalesData[[#This Row],[Date]],"MMM-YYY")</f>
        <v>Jan-2023</v>
      </c>
      <c r="U898" t="str">
        <f>TEXT(SalesData[[#This Row],[Date]],"YYYY")&amp;"  Q"&amp;INT(MONTH(SalesData[[#This Row],[Date]]/2)+3)</f>
        <v>2023  Q10</v>
      </c>
    </row>
    <row r="899" spans="1:21"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c r="T899" t="str">
        <f>TEXT(SalesData[[#This Row],[Date]],"MMM-YYY")</f>
        <v>Apr-2023</v>
      </c>
      <c r="U899" t="str">
        <f>TEXT(SalesData[[#This Row],[Date]],"YYYY")&amp;"  Q"&amp;INT(MONTH(SalesData[[#This Row],[Date]]/2)+3)</f>
        <v>2023  Q11</v>
      </c>
    </row>
    <row r="900" spans="1:21"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c r="T900" t="str">
        <f>TEXT(SalesData[[#This Row],[Date]],"MMM-YYY")</f>
        <v>Feb-2025</v>
      </c>
      <c r="U900" t="str">
        <f>TEXT(SalesData[[#This Row],[Date]],"YYYY")&amp;"  Q"&amp;INT(MONTH(SalesData[[#This Row],[Date]]/2)+3)</f>
        <v>2025  Q10</v>
      </c>
    </row>
    <row r="901" spans="1:21"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c r="T901" t="str">
        <f>TEXT(SalesData[[#This Row],[Date]],"MMM-YYY")</f>
        <v>Jun-2023</v>
      </c>
      <c r="U901" t="str">
        <f>TEXT(SalesData[[#This Row],[Date]],"YYYY")&amp;"  Q"&amp;INT(MONTH(SalesData[[#This Row],[Date]]/2)+3)</f>
        <v>2023  Q12</v>
      </c>
    </row>
    <row r="902" spans="1:21"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c r="T902" t="str">
        <f>TEXT(SalesData[[#This Row],[Date]],"MMM-YYY")</f>
        <v>Aug-2023</v>
      </c>
      <c r="U902" t="str">
        <f>TEXT(SalesData[[#This Row],[Date]],"YYYY")&amp;"  Q"&amp;INT(MONTH(SalesData[[#This Row],[Date]]/2)+3)</f>
        <v>2023  Q13</v>
      </c>
    </row>
    <row r="903" spans="1:21"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c r="T903" t="str">
        <f>TEXT(SalesData[[#This Row],[Date]],"MMM-YYY")</f>
        <v>Aug-2023</v>
      </c>
      <c r="U903" t="str">
        <f>TEXT(SalesData[[#This Row],[Date]],"YYYY")&amp;"  Q"&amp;INT(MONTH(SalesData[[#This Row],[Date]]/2)+3)</f>
        <v>2023  Q13</v>
      </c>
    </row>
    <row r="904" spans="1:21"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c r="T904" t="str">
        <f>TEXT(SalesData[[#This Row],[Date]],"MMM-YYY")</f>
        <v>Feb-2025</v>
      </c>
      <c r="U904" t="str">
        <f>TEXT(SalesData[[#This Row],[Date]],"YYYY")&amp;"  Q"&amp;INT(MONTH(SalesData[[#This Row],[Date]]/2)+3)</f>
        <v>2025  Q10</v>
      </c>
    </row>
    <row r="905" spans="1:21"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c r="T905" t="str">
        <f>TEXT(SalesData[[#This Row],[Date]],"MMM-YYY")</f>
        <v>Jul-2023</v>
      </c>
      <c r="U905" t="str">
        <f>TEXT(SalesData[[#This Row],[Date]],"YYYY")&amp;"  Q"&amp;INT(MONTH(SalesData[[#This Row],[Date]]/2)+3)</f>
        <v>2023  Q13</v>
      </c>
    </row>
    <row r="906" spans="1:21"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c r="T906" t="str">
        <f>TEXT(SalesData[[#This Row],[Date]],"MMM-YYY")</f>
        <v>May-2025</v>
      </c>
      <c r="U906" t="str">
        <f>TEXT(SalesData[[#This Row],[Date]],"YYYY")&amp;"  Q"&amp;INT(MONTH(SalesData[[#This Row],[Date]]/2)+3)</f>
        <v>2025  Q12</v>
      </c>
    </row>
    <row r="907" spans="1:21"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c r="T907" t="str">
        <f>TEXT(SalesData[[#This Row],[Date]],"MMM-YYY")</f>
        <v>May-2024</v>
      </c>
      <c r="U907" t="str">
        <f>TEXT(SalesData[[#This Row],[Date]],"YYYY")&amp;"  Q"&amp;INT(MONTH(SalesData[[#This Row],[Date]]/2)+3)</f>
        <v>2024  Q6</v>
      </c>
    </row>
    <row r="908" spans="1:21"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c r="T908" t="str">
        <f>TEXT(SalesData[[#This Row],[Date]],"MMM-YYY")</f>
        <v>Jan-2024</v>
      </c>
      <c r="U908" t="str">
        <f>TEXT(SalesData[[#This Row],[Date]],"YYYY")&amp;"  Q"&amp;INT(MONTH(SalesData[[#This Row],[Date]]/2)+3)</f>
        <v>2024  Q4</v>
      </c>
    </row>
    <row r="909" spans="1:21"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c r="T909" t="str">
        <f>TEXT(SalesData[[#This Row],[Date]],"MMM-YYY")</f>
        <v>Jan-2025</v>
      </c>
      <c r="U909" t="str">
        <f>TEXT(SalesData[[#This Row],[Date]],"YYYY")&amp;"  Q"&amp;INT(MONTH(SalesData[[#This Row],[Date]]/2)+3)</f>
        <v>2025  Q10</v>
      </c>
    </row>
    <row r="910" spans="1:21"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c r="T910" t="str">
        <f>TEXT(SalesData[[#This Row],[Date]],"MMM-YYY")</f>
        <v>Jun-2025</v>
      </c>
      <c r="U910" t="str">
        <f>TEXT(SalesData[[#This Row],[Date]],"YYYY")&amp;"  Q"&amp;INT(MONTH(SalesData[[#This Row],[Date]]/2)+3)</f>
        <v>2025  Q12</v>
      </c>
    </row>
    <row r="911" spans="1:21"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c r="T911" t="str">
        <f>TEXT(SalesData[[#This Row],[Date]],"MMM-YYY")</f>
        <v>Apr-2025</v>
      </c>
      <c r="U911" t="str">
        <f>TEXT(SalesData[[#This Row],[Date]],"YYYY")&amp;"  Q"&amp;INT(MONTH(SalesData[[#This Row],[Date]]/2)+3)</f>
        <v>2025  Q11</v>
      </c>
    </row>
    <row r="912" spans="1:21"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c r="T912" t="str">
        <f>TEXT(SalesData[[#This Row],[Date]],"MMM-YYY")</f>
        <v>Jan-2023</v>
      </c>
      <c r="U912" t="str">
        <f>TEXT(SalesData[[#This Row],[Date]],"YYYY")&amp;"  Q"&amp;INT(MONTH(SalesData[[#This Row],[Date]]/2)+3)</f>
        <v>2023  Q10</v>
      </c>
    </row>
    <row r="913" spans="1:21"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c r="T913" t="str">
        <f>TEXT(SalesData[[#This Row],[Date]],"MMM-YYY")</f>
        <v>Jan-2023</v>
      </c>
      <c r="U913" t="str">
        <f>TEXT(SalesData[[#This Row],[Date]],"YYYY")&amp;"  Q"&amp;INT(MONTH(SalesData[[#This Row],[Date]]/2)+3)</f>
        <v>2023  Q10</v>
      </c>
    </row>
    <row r="914" spans="1:21"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c r="T914" t="str">
        <f>TEXT(SalesData[[#This Row],[Date]],"MMM-YYY")</f>
        <v>Jan-2025</v>
      </c>
      <c r="U914" t="str">
        <f>TEXT(SalesData[[#This Row],[Date]],"YYYY")&amp;"  Q"&amp;INT(MONTH(SalesData[[#This Row],[Date]]/2)+3)</f>
        <v>2025  Q10</v>
      </c>
    </row>
    <row r="915" spans="1:21"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c r="T915" t="str">
        <f>TEXT(SalesData[[#This Row],[Date]],"MMM-YYY")</f>
        <v>Nov-2024</v>
      </c>
      <c r="U915" t="str">
        <f>TEXT(SalesData[[#This Row],[Date]],"YYYY")&amp;"  Q"&amp;INT(MONTH(SalesData[[#This Row],[Date]]/2)+3)</f>
        <v>2024  Q9</v>
      </c>
    </row>
    <row r="916" spans="1:21"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c r="T916" t="str">
        <f>TEXT(SalesData[[#This Row],[Date]],"MMM-YYY")</f>
        <v>Feb-2024</v>
      </c>
      <c r="U916" t="str">
        <f>TEXT(SalesData[[#This Row],[Date]],"YYYY")&amp;"  Q"&amp;INT(MONTH(SalesData[[#This Row],[Date]]/2)+3)</f>
        <v>2024  Q4</v>
      </c>
    </row>
    <row r="917" spans="1:21"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c r="T917" t="str">
        <f>TEXT(SalesData[[#This Row],[Date]],"MMM-YYY")</f>
        <v>Jun-2025</v>
      </c>
      <c r="U917" t="str">
        <f>TEXT(SalesData[[#This Row],[Date]],"YYYY")&amp;"  Q"&amp;INT(MONTH(SalesData[[#This Row],[Date]]/2)+3)</f>
        <v>2025  Q12</v>
      </c>
    </row>
    <row r="918" spans="1:21"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c r="T918" t="str">
        <f>TEXT(SalesData[[#This Row],[Date]],"MMM-YYY")</f>
        <v>Nov-2023</v>
      </c>
      <c r="U918" t="str">
        <f>TEXT(SalesData[[#This Row],[Date]],"YYYY")&amp;"  Q"&amp;INT(MONTH(SalesData[[#This Row],[Date]]/2)+3)</f>
        <v>2023  Q15</v>
      </c>
    </row>
    <row r="919" spans="1:21"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c r="T919" t="str">
        <f>TEXT(SalesData[[#This Row],[Date]],"MMM-YYY")</f>
        <v>Jun-2024</v>
      </c>
      <c r="U919" t="str">
        <f>TEXT(SalesData[[#This Row],[Date]],"YYYY")&amp;"  Q"&amp;INT(MONTH(SalesData[[#This Row],[Date]]/2)+3)</f>
        <v>2024  Q6</v>
      </c>
    </row>
    <row r="920" spans="1:21"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c r="T920" t="str">
        <f>TEXT(SalesData[[#This Row],[Date]],"MMM-YYY")</f>
        <v>May-2024</v>
      </c>
      <c r="U920" t="str">
        <f>TEXT(SalesData[[#This Row],[Date]],"YYYY")&amp;"  Q"&amp;INT(MONTH(SalesData[[#This Row],[Date]]/2)+3)</f>
        <v>2024  Q6</v>
      </c>
    </row>
    <row r="921" spans="1:21"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c r="T921" t="str">
        <f>TEXT(SalesData[[#This Row],[Date]],"MMM-YYY")</f>
        <v>Jun-2023</v>
      </c>
      <c r="U921" t="str">
        <f>TEXT(SalesData[[#This Row],[Date]],"YYYY")&amp;"  Q"&amp;INT(MONTH(SalesData[[#This Row],[Date]]/2)+3)</f>
        <v>2023  Q12</v>
      </c>
    </row>
    <row r="922" spans="1:21"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c r="T922" t="str">
        <f>TEXT(SalesData[[#This Row],[Date]],"MMM-YYY")</f>
        <v>Nov-2024</v>
      </c>
      <c r="U922" t="str">
        <f>TEXT(SalesData[[#This Row],[Date]],"YYYY")&amp;"  Q"&amp;INT(MONTH(SalesData[[#This Row],[Date]]/2)+3)</f>
        <v>2024  Q9</v>
      </c>
    </row>
    <row r="923" spans="1:21"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c r="T923" t="str">
        <f>TEXT(SalesData[[#This Row],[Date]],"MMM-YYY")</f>
        <v>Feb-2025</v>
      </c>
      <c r="U923" t="str">
        <f>TEXT(SalesData[[#This Row],[Date]],"YYYY")&amp;"  Q"&amp;INT(MONTH(SalesData[[#This Row],[Date]]/2)+3)</f>
        <v>2025  Q10</v>
      </c>
    </row>
    <row r="924" spans="1:21"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c r="T924" t="str">
        <f>TEXT(SalesData[[#This Row],[Date]],"MMM-YYY")</f>
        <v>Apr-2025</v>
      </c>
      <c r="U924" t="str">
        <f>TEXT(SalesData[[#This Row],[Date]],"YYYY")&amp;"  Q"&amp;INT(MONTH(SalesData[[#This Row],[Date]]/2)+3)</f>
        <v>2025  Q11</v>
      </c>
    </row>
    <row r="925" spans="1:21"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c r="T925" t="str">
        <f>TEXT(SalesData[[#This Row],[Date]],"MMM-YYY")</f>
        <v>Aug-2024</v>
      </c>
      <c r="U925" t="str">
        <f>TEXT(SalesData[[#This Row],[Date]],"YYYY")&amp;"  Q"&amp;INT(MONTH(SalesData[[#This Row],[Date]]/2)+3)</f>
        <v>2024  Q7</v>
      </c>
    </row>
    <row r="926" spans="1:21"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c r="T926" t="str">
        <f>TEXT(SalesData[[#This Row],[Date]],"MMM-YYY")</f>
        <v>Feb-2023</v>
      </c>
      <c r="U926" t="str">
        <f>TEXT(SalesData[[#This Row],[Date]],"YYYY")&amp;"  Q"&amp;INT(MONTH(SalesData[[#This Row],[Date]]/2)+3)</f>
        <v>2023  Q10</v>
      </c>
    </row>
    <row r="927" spans="1:21"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c r="T927" t="str">
        <f>TEXT(SalesData[[#This Row],[Date]],"MMM-YYY")</f>
        <v>Apr-2025</v>
      </c>
      <c r="U927" t="str">
        <f>TEXT(SalesData[[#This Row],[Date]],"YYYY")&amp;"  Q"&amp;INT(MONTH(SalesData[[#This Row],[Date]]/2)+3)</f>
        <v>2025  Q11</v>
      </c>
    </row>
    <row r="928" spans="1:21"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c r="T928" t="str">
        <f>TEXT(SalesData[[#This Row],[Date]],"MMM-YYY")</f>
        <v>Aug-2023</v>
      </c>
      <c r="U928" t="str">
        <f>TEXT(SalesData[[#This Row],[Date]],"YYYY")&amp;"  Q"&amp;INT(MONTH(SalesData[[#This Row],[Date]]/2)+3)</f>
        <v>2023  Q13</v>
      </c>
    </row>
    <row r="929" spans="1:21"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c r="T929" t="str">
        <f>TEXT(SalesData[[#This Row],[Date]],"MMM-YYY")</f>
        <v>Jun-2024</v>
      </c>
      <c r="U929" t="str">
        <f>TEXT(SalesData[[#This Row],[Date]],"YYYY")&amp;"  Q"&amp;INT(MONTH(SalesData[[#This Row],[Date]]/2)+3)</f>
        <v>2024  Q6</v>
      </c>
    </row>
    <row r="930" spans="1:21"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c r="T930" t="str">
        <f>TEXT(SalesData[[#This Row],[Date]],"MMM-YYY")</f>
        <v>Aug-2023</v>
      </c>
      <c r="U930" t="str">
        <f>TEXT(SalesData[[#This Row],[Date]],"YYYY")&amp;"  Q"&amp;INT(MONTH(SalesData[[#This Row],[Date]]/2)+3)</f>
        <v>2023  Q13</v>
      </c>
    </row>
    <row r="931" spans="1:21"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c r="T931" t="str">
        <f>TEXT(SalesData[[#This Row],[Date]],"MMM-YYY")</f>
        <v>Nov-2024</v>
      </c>
      <c r="U931" t="str">
        <f>TEXT(SalesData[[#This Row],[Date]],"YYYY")&amp;"  Q"&amp;INT(MONTH(SalesData[[#This Row],[Date]]/2)+3)</f>
        <v>2024  Q9</v>
      </c>
    </row>
    <row r="932" spans="1:21"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c r="T932" t="str">
        <f>TEXT(SalesData[[#This Row],[Date]],"MMM-YYY")</f>
        <v>Feb-2025</v>
      </c>
      <c r="U932" t="str">
        <f>TEXT(SalesData[[#This Row],[Date]],"YYYY")&amp;"  Q"&amp;INT(MONTH(SalesData[[#This Row],[Date]]/2)+3)</f>
        <v>2025  Q10</v>
      </c>
    </row>
    <row r="933" spans="1:21"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c r="T933" t="str">
        <f>TEXT(SalesData[[#This Row],[Date]],"MMM-YYY")</f>
        <v>Mar-2025</v>
      </c>
      <c r="U933" t="str">
        <f>TEXT(SalesData[[#This Row],[Date]],"YYYY")&amp;"  Q"&amp;INT(MONTH(SalesData[[#This Row],[Date]]/2)+3)</f>
        <v>2025  Q11</v>
      </c>
    </row>
    <row r="934" spans="1:21"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c r="T934" t="str">
        <f>TEXT(SalesData[[#This Row],[Date]],"MMM-YYY")</f>
        <v>Sep-2024</v>
      </c>
      <c r="U934" t="str">
        <f>TEXT(SalesData[[#This Row],[Date]],"YYYY")&amp;"  Q"&amp;INT(MONTH(SalesData[[#This Row],[Date]]/2)+3)</f>
        <v>2024  Q8</v>
      </c>
    </row>
    <row r="935" spans="1:21"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c r="T935" t="str">
        <f>TEXT(SalesData[[#This Row],[Date]],"MMM-YYY")</f>
        <v>Feb-2025</v>
      </c>
      <c r="U935" t="str">
        <f>TEXT(SalesData[[#This Row],[Date]],"YYYY")&amp;"  Q"&amp;INT(MONTH(SalesData[[#This Row],[Date]]/2)+3)</f>
        <v>2025  Q10</v>
      </c>
    </row>
    <row r="936" spans="1:21"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c r="T936" t="str">
        <f>TEXT(SalesData[[#This Row],[Date]],"MMM-YYY")</f>
        <v>Jan-2023</v>
      </c>
      <c r="U936" t="str">
        <f>TEXT(SalesData[[#This Row],[Date]],"YYYY")&amp;"  Q"&amp;INT(MONTH(SalesData[[#This Row],[Date]]/2)+3)</f>
        <v>2023  Q10</v>
      </c>
    </row>
    <row r="937" spans="1:21"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c r="T937" t="str">
        <f>TEXT(SalesData[[#This Row],[Date]],"MMM-YYY")</f>
        <v>Mar-2024</v>
      </c>
      <c r="U937" t="str">
        <f>TEXT(SalesData[[#This Row],[Date]],"YYYY")&amp;"  Q"&amp;INT(MONTH(SalesData[[#This Row],[Date]]/2)+3)</f>
        <v>2024  Q4</v>
      </c>
    </row>
    <row r="938" spans="1:21"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c r="T938" t="str">
        <f>TEXT(SalesData[[#This Row],[Date]],"MMM-YYY")</f>
        <v>Nov-2023</v>
      </c>
      <c r="U938" t="str">
        <f>TEXT(SalesData[[#This Row],[Date]],"YYYY")&amp;"  Q"&amp;INT(MONTH(SalesData[[#This Row],[Date]]/2)+3)</f>
        <v>2023  Q15</v>
      </c>
    </row>
    <row r="939" spans="1:21"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c r="T939" t="str">
        <f>TEXT(SalesData[[#This Row],[Date]],"MMM-YYY")</f>
        <v>Nov-2024</v>
      </c>
      <c r="U939" t="str">
        <f>TEXT(SalesData[[#This Row],[Date]],"YYYY")&amp;"  Q"&amp;INT(MONTH(SalesData[[#This Row],[Date]]/2)+3)</f>
        <v>2024  Q9</v>
      </c>
    </row>
    <row r="940" spans="1:21"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c r="T940" t="str">
        <f>TEXT(SalesData[[#This Row],[Date]],"MMM-YYY")</f>
        <v>Feb-2025</v>
      </c>
      <c r="U940" t="str">
        <f>TEXT(SalesData[[#This Row],[Date]],"YYYY")&amp;"  Q"&amp;INT(MONTH(SalesData[[#This Row],[Date]]/2)+3)</f>
        <v>2025  Q10</v>
      </c>
    </row>
    <row r="941" spans="1:21"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c r="T941" t="str">
        <f>TEXT(SalesData[[#This Row],[Date]],"MMM-YYY")</f>
        <v>Feb-2024</v>
      </c>
      <c r="U941" t="str">
        <f>TEXT(SalesData[[#This Row],[Date]],"YYYY")&amp;"  Q"&amp;INT(MONTH(SalesData[[#This Row],[Date]]/2)+3)</f>
        <v>2024  Q4</v>
      </c>
    </row>
    <row r="942" spans="1:21"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c r="T942" t="str">
        <f>TEXT(SalesData[[#This Row],[Date]],"MMM-YYY")</f>
        <v>Mar-2023</v>
      </c>
      <c r="U942" t="str">
        <f>TEXT(SalesData[[#This Row],[Date]],"YYYY")&amp;"  Q"&amp;INT(MONTH(SalesData[[#This Row],[Date]]/2)+3)</f>
        <v>2023  Q11</v>
      </c>
    </row>
    <row r="943" spans="1:21"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c r="T943" t="str">
        <f>TEXT(SalesData[[#This Row],[Date]],"MMM-YYY")</f>
        <v>May-2024</v>
      </c>
      <c r="U943" t="str">
        <f>TEXT(SalesData[[#This Row],[Date]],"YYYY")&amp;"  Q"&amp;INT(MONTH(SalesData[[#This Row],[Date]]/2)+3)</f>
        <v>2024  Q6</v>
      </c>
    </row>
    <row r="944" spans="1:21"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c r="T944" t="str">
        <f>TEXT(SalesData[[#This Row],[Date]],"MMM-YYY")</f>
        <v>Oct-2024</v>
      </c>
      <c r="U944" t="str">
        <f>TEXT(SalesData[[#This Row],[Date]],"YYYY")&amp;"  Q"&amp;INT(MONTH(SalesData[[#This Row],[Date]]/2)+3)</f>
        <v>2024  Q8</v>
      </c>
    </row>
    <row r="945" spans="1:21"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c r="T945" t="str">
        <f>TEXT(SalesData[[#This Row],[Date]],"MMM-YYY")</f>
        <v>Jan-2025</v>
      </c>
      <c r="U945" t="str">
        <f>TEXT(SalesData[[#This Row],[Date]],"YYYY")&amp;"  Q"&amp;INT(MONTH(SalesData[[#This Row],[Date]]/2)+3)</f>
        <v>2025  Q10</v>
      </c>
    </row>
    <row r="946" spans="1:21"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c r="T946" t="str">
        <f>TEXT(SalesData[[#This Row],[Date]],"MMM-YYY")</f>
        <v>Dec-2024</v>
      </c>
      <c r="U946" t="str">
        <f>TEXT(SalesData[[#This Row],[Date]],"YYYY")&amp;"  Q"&amp;INT(MONTH(SalesData[[#This Row],[Date]]/2)+3)</f>
        <v>2024  Q9</v>
      </c>
    </row>
    <row r="947" spans="1:21"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c r="T947" t="str">
        <f>TEXT(SalesData[[#This Row],[Date]],"MMM-YYY")</f>
        <v>Jan-2023</v>
      </c>
      <c r="U947" t="str">
        <f>TEXT(SalesData[[#This Row],[Date]],"YYYY")&amp;"  Q"&amp;INT(MONTH(SalesData[[#This Row],[Date]]/2)+3)</f>
        <v>2023  Q10</v>
      </c>
    </row>
    <row r="948" spans="1:21"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c r="T948" t="str">
        <f>TEXT(SalesData[[#This Row],[Date]],"MMM-YYY")</f>
        <v>Aug-2024</v>
      </c>
      <c r="U948" t="str">
        <f>TEXT(SalesData[[#This Row],[Date]],"YYYY")&amp;"  Q"&amp;INT(MONTH(SalesData[[#This Row],[Date]]/2)+3)</f>
        <v>2024  Q7</v>
      </c>
    </row>
    <row r="949" spans="1:21"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c r="T949" t="str">
        <f>TEXT(SalesData[[#This Row],[Date]],"MMM-YYY")</f>
        <v>Nov-2023</v>
      </c>
      <c r="U949" t="str">
        <f>TEXT(SalesData[[#This Row],[Date]],"YYYY")&amp;"  Q"&amp;INT(MONTH(SalesData[[#This Row],[Date]]/2)+3)</f>
        <v>2023  Q15</v>
      </c>
    </row>
    <row r="950" spans="1:21"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c r="T950" t="str">
        <f>TEXT(SalesData[[#This Row],[Date]],"MMM-YYY")</f>
        <v>Mar-2025</v>
      </c>
      <c r="U950" t="str">
        <f>TEXT(SalesData[[#This Row],[Date]],"YYYY")&amp;"  Q"&amp;INT(MONTH(SalesData[[#This Row],[Date]]/2)+3)</f>
        <v>2025  Q11</v>
      </c>
    </row>
    <row r="951" spans="1:21"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c r="T951" t="str">
        <f>TEXT(SalesData[[#This Row],[Date]],"MMM-YYY")</f>
        <v>Feb-2025</v>
      </c>
      <c r="U951" t="str">
        <f>TEXT(SalesData[[#This Row],[Date]],"YYYY")&amp;"  Q"&amp;INT(MONTH(SalesData[[#This Row],[Date]]/2)+3)</f>
        <v>2025  Q10</v>
      </c>
    </row>
    <row r="952" spans="1:21"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c r="T952" t="str">
        <f>TEXT(SalesData[[#This Row],[Date]],"MMM-YYY")</f>
        <v>Feb-2025</v>
      </c>
      <c r="U952" t="str">
        <f>TEXT(SalesData[[#This Row],[Date]],"YYYY")&amp;"  Q"&amp;INT(MONTH(SalesData[[#This Row],[Date]]/2)+3)</f>
        <v>2025  Q10</v>
      </c>
    </row>
    <row r="953" spans="1:21"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c r="T953" t="str">
        <f>TEXT(SalesData[[#This Row],[Date]],"MMM-YYY")</f>
        <v>Mar-2024</v>
      </c>
      <c r="U953" t="str">
        <f>TEXT(SalesData[[#This Row],[Date]],"YYYY")&amp;"  Q"&amp;INT(MONTH(SalesData[[#This Row],[Date]]/2)+3)</f>
        <v>2024  Q5</v>
      </c>
    </row>
    <row r="954" spans="1:21"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c r="T954" t="str">
        <f>TEXT(SalesData[[#This Row],[Date]],"MMM-YYY")</f>
        <v>May-2025</v>
      </c>
      <c r="U954" t="str">
        <f>TEXT(SalesData[[#This Row],[Date]],"YYYY")&amp;"  Q"&amp;INT(MONTH(SalesData[[#This Row],[Date]]/2)+3)</f>
        <v>2025  Q12</v>
      </c>
    </row>
    <row r="955" spans="1:21"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c r="T955" t="str">
        <f>TEXT(SalesData[[#This Row],[Date]],"MMM-YYY")</f>
        <v>May-2024</v>
      </c>
      <c r="U955" t="str">
        <f>TEXT(SalesData[[#This Row],[Date]],"YYYY")&amp;"  Q"&amp;INT(MONTH(SalesData[[#This Row],[Date]]/2)+3)</f>
        <v>2024  Q6</v>
      </c>
    </row>
    <row r="956" spans="1:21"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c r="T956" t="str">
        <f>TEXT(SalesData[[#This Row],[Date]],"MMM-YYY")</f>
        <v>May-2023</v>
      </c>
      <c r="U956" t="str">
        <f>TEXT(SalesData[[#This Row],[Date]],"YYYY")&amp;"  Q"&amp;INT(MONTH(SalesData[[#This Row],[Date]]/2)+3)</f>
        <v>2023  Q12</v>
      </c>
    </row>
    <row r="957" spans="1:21"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c r="T957" t="str">
        <f>TEXT(SalesData[[#This Row],[Date]],"MMM-YYY")</f>
        <v>Oct-2023</v>
      </c>
      <c r="U957" t="str">
        <f>TEXT(SalesData[[#This Row],[Date]],"YYYY")&amp;"  Q"&amp;INT(MONTH(SalesData[[#This Row],[Date]]/2)+3)</f>
        <v>2023  Q14</v>
      </c>
    </row>
    <row r="958" spans="1:21"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c r="T958" t="str">
        <f>TEXT(SalesData[[#This Row],[Date]],"MMM-YYY")</f>
        <v>Jan-2024</v>
      </c>
      <c r="U958" t="str">
        <f>TEXT(SalesData[[#This Row],[Date]],"YYYY")&amp;"  Q"&amp;INT(MONTH(SalesData[[#This Row],[Date]]/2)+3)</f>
        <v>2024  Q4</v>
      </c>
    </row>
    <row r="959" spans="1:21"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c r="T959" t="str">
        <f>TEXT(SalesData[[#This Row],[Date]],"MMM-YYY")</f>
        <v>Feb-2023</v>
      </c>
      <c r="U959" t="str">
        <f>TEXT(SalesData[[#This Row],[Date]],"YYYY")&amp;"  Q"&amp;INT(MONTH(SalesData[[#This Row],[Date]]/2)+3)</f>
        <v>2023  Q10</v>
      </c>
    </row>
    <row r="960" spans="1:21"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c r="T960" t="str">
        <f>TEXT(SalesData[[#This Row],[Date]],"MMM-YYY")</f>
        <v>Jul-2024</v>
      </c>
      <c r="U960" t="str">
        <f>TEXT(SalesData[[#This Row],[Date]],"YYYY")&amp;"  Q"&amp;INT(MONTH(SalesData[[#This Row],[Date]]/2)+3)</f>
        <v>2024  Q7</v>
      </c>
    </row>
    <row r="961" spans="1:21"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c r="T961" t="str">
        <f>TEXT(SalesData[[#This Row],[Date]],"MMM-YYY")</f>
        <v>May-2025</v>
      </c>
      <c r="U961" t="str">
        <f>TEXT(SalesData[[#This Row],[Date]],"YYYY")&amp;"  Q"&amp;INT(MONTH(SalesData[[#This Row],[Date]]/2)+3)</f>
        <v>2025  Q12</v>
      </c>
    </row>
    <row r="962" spans="1:21"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c r="T962" t="str">
        <f>TEXT(SalesData[[#This Row],[Date]],"MMM-YYY")</f>
        <v>Nov-2023</v>
      </c>
      <c r="U962" t="str">
        <f>TEXT(SalesData[[#This Row],[Date]],"YYYY")&amp;"  Q"&amp;INT(MONTH(SalesData[[#This Row],[Date]]/2)+3)</f>
        <v>2023  Q15</v>
      </c>
    </row>
    <row r="963" spans="1:21"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c r="T963" t="str">
        <f>TEXT(SalesData[[#This Row],[Date]],"MMM-YYY")</f>
        <v>Jul-2023</v>
      </c>
      <c r="U963" t="str">
        <f>TEXT(SalesData[[#This Row],[Date]],"YYYY")&amp;"  Q"&amp;INT(MONTH(SalesData[[#This Row],[Date]]/2)+3)</f>
        <v>2023  Q13</v>
      </c>
    </row>
    <row r="964" spans="1:21"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c r="T964" t="str">
        <f>TEXT(SalesData[[#This Row],[Date]],"MMM-YYY")</f>
        <v>Jul-2023</v>
      </c>
      <c r="U964" t="str">
        <f>TEXT(SalesData[[#This Row],[Date]],"YYYY")&amp;"  Q"&amp;INT(MONTH(SalesData[[#This Row],[Date]]/2)+3)</f>
        <v>2023  Q13</v>
      </c>
    </row>
    <row r="965" spans="1:21"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c r="T965" t="str">
        <f>TEXT(SalesData[[#This Row],[Date]],"MMM-YYY")</f>
        <v>Nov-2023</v>
      </c>
      <c r="U965" t="str">
        <f>TEXT(SalesData[[#This Row],[Date]],"YYYY")&amp;"  Q"&amp;INT(MONTH(SalesData[[#This Row],[Date]]/2)+3)</f>
        <v>2023  Q15</v>
      </c>
    </row>
    <row r="966" spans="1:21"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c r="T966" t="str">
        <f>TEXT(SalesData[[#This Row],[Date]],"MMM-YYY")</f>
        <v>Feb-2025</v>
      </c>
      <c r="U966" t="str">
        <f>TEXT(SalesData[[#This Row],[Date]],"YYYY")&amp;"  Q"&amp;INT(MONTH(SalesData[[#This Row],[Date]]/2)+3)</f>
        <v>2025  Q10</v>
      </c>
    </row>
    <row r="967" spans="1:21"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c r="T967" t="str">
        <f>TEXT(SalesData[[#This Row],[Date]],"MMM-YYY")</f>
        <v>May-2024</v>
      </c>
      <c r="U967" t="str">
        <f>TEXT(SalesData[[#This Row],[Date]],"YYYY")&amp;"  Q"&amp;INT(MONTH(SalesData[[#This Row],[Date]]/2)+3)</f>
        <v>2024  Q6</v>
      </c>
    </row>
    <row r="968" spans="1:21"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c r="T968" t="str">
        <f>TEXT(SalesData[[#This Row],[Date]],"MMM-YYY")</f>
        <v>Oct-2024</v>
      </c>
      <c r="U968" t="str">
        <f>TEXT(SalesData[[#This Row],[Date]],"YYYY")&amp;"  Q"&amp;INT(MONTH(SalesData[[#This Row],[Date]]/2)+3)</f>
        <v>2024  Q8</v>
      </c>
    </row>
    <row r="969" spans="1:21"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c r="T969" t="str">
        <f>TEXT(SalesData[[#This Row],[Date]],"MMM-YYY")</f>
        <v>Jan-2025</v>
      </c>
      <c r="U969" t="str">
        <f>TEXT(SalesData[[#This Row],[Date]],"YYYY")&amp;"  Q"&amp;INT(MONTH(SalesData[[#This Row],[Date]]/2)+3)</f>
        <v>2025  Q10</v>
      </c>
    </row>
    <row r="970" spans="1:21"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c r="T970" t="str">
        <f>TEXT(SalesData[[#This Row],[Date]],"MMM-YYY")</f>
        <v>Mar-2025</v>
      </c>
      <c r="U970" t="str">
        <f>TEXT(SalesData[[#This Row],[Date]],"YYYY")&amp;"  Q"&amp;INT(MONTH(SalesData[[#This Row],[Date]]/2)+3)</f>
        <v>2025  Q11</v>
      </c>
    </row>
    <row r="971" spans="1:21"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c r="T971" t="str">
        <f>TEXT(SalesData[[#This Row],[Date]],"MMM-YYY")</f>
        <v>Apr-2024</v>
      </c>
      <c r="U971" t="str">
        <f>TEXT(SalesData[[#This Row],[Date]],"YYYY")&amp;"  Q"&amp;INT(MONTH(SalesData[[#This Row],[Date]]/2)+3)</f>
        <v>2024  Q5</v>
      </c>
    </row>
    <row r="972" spans="1:21"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c r="T972" t="str">
        <f>TEXT(SalesData[[#This Row],[Date]],"MMM-YYY")</f>
        <v>May-2024</v>
      </c>
      <c r="U972" t="str">
        <f>TEXT(SalesData[[#This Row],[Date]],"YYYY")&amp;"  Q"&amp;INT(MONTH(SalesData[[#This Row],[Date]]/2)+3)</f>
        <v>2024  Q6</v>
      </c>
    </row>
    <row r="973" spans="1:21"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c r="T973" t="str">
        <f>TEXT(SalesData[[#This Row],[Date]],"MMM-YYY")</f>
        <v>Oct-2024</v>
      </c>
      <c r="U973" t="str">
        <f>TEXT(SalesData[[#This Row],[Date]],"YYYY")&amp;"  Q"&amp;INT(MONTH(SalesData[[#This Row],[Date]]/2)+3)</f>
        <v>2024  Q8</v>
      </c>
    </row>
    <row r="974" spans="1:21"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c r="T974" t="str">
        <f>TEXT(SalesData[[#This Row],[Date]],"MMM-YYY")</f>
        <v>Feb-2024</v>
      </c>
      <c r="U974" t="str">
        <f>TEXT(SalesData[[#This Row],[Date]],"YYYY")&amp;"  Q"&amp;INT(MONTH(SalesData[[#This Row],[Date]]/2)+3)</f>
        <v>2024  Q4</v>
      </c>
    </row>
    <row r="975" spans="1:21"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c r="T975" t="str">
        <f>TEXT(SalesData[[#This Row],[Date]],"MMM-YYY")</f>
        <v>May-2023</v>
      </c>
      <c r="U975" t="str">
        <f>TEXT(SalesData[[#This Row],[Date]],"YYYY")&amp;"  Q"&amp;INT(MONTH(SalesData[[#This Row],[Date]]/2)+3)</f>
        <v>2023  Q12</v>
      </c>
    </row>
    <row r="976" spans="1:21"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c r="T976" t="str">
        <f>TEXT(SalesData[[#This Row],[Date]],"MMM-YYY")</f>
        <v>Mar-2023</v>
      </c>
      <c r="U976" t="str">
        <f>TEXT(SalesData[[#This Row],[Date]],"YYYY")&amp;"  Q"&amp;INT(MONTH(SalesData[[#This Row],[Date]]/2)+3)</f>
        <v>2023  Q11</v>
      </c>
    </row>
    <row r="977" spans="1:21"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c r="T977" t="str">
        <f>TEXT(SalesData[[#This Row],[Date]],"MMM-YYY")</f>
        <v>May-2025</v>
      </c>
      <c r="U977" t="str">
        <f>TEXT(SalesData[[#This Row],[Date]],"YYYY")&amp;"  Q"&amp;INT(MONTH(SalesData[[#This Row],[Date]]/2)+3)</f>
        <v>2025  Q12</v>
      </c>
    </row>
    <row r="978" spans="1:21"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c r="T978" t="str">
        <f>TEXT(SalesData[[#This Row],[Date]],"MMM-YYY")</f>
        <v>Apr-2025</v>
      </c>
      <c r="U978" t="str">
        <f>TEXT(SalesData[[#This Row],[Date]],"YYYY")&amp;"  Q"&amp;INT(MONTH(SalesData[[#This Row],[Date]]/2)+3)</f>
        <v>2025  Q11</v>
      </c>
    </row>
    <row r="979" spans="1:21"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c r="T979" t="str">
        <f>TEXT(SalesData[[#This Row],[Date]],"MMM-YYY")</f>
        <v>Apr-2023</v>
      </c>
      <c r="U979" t="str">
        <f>TEXT(SalesData[[#This Row],[Date]],"YYYY")&amp;"  Q"&amp;INT(MONTH(SalesData[[#This Row],[Date]]/2)+3)</f>
        <v>2023  Q11</v>
      </c>
    </row>
    <row r="980" spans="1:21"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c r="T980" t="str">
        <f>TEXT(SalesData[[#This Row],[Date]],"MMM-YYY")</f>
        <v>Aug-2024</v>
      </c>
      <c r="U980" t="str">
        <f>TEXT(SalesData[[#This Row],[Date]],"YYYY")&amp;"  Q"&amp;INT(MONTH(SalesData[[#This Row],[Date]]/2)+3)</f>
        <v>2024  Q7</v>
      </c>
    </row>
    <row r="981" spans="1:21"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c r="T981" t="str">
        <f>TEXT(SalesData[[#This Row],[Date]],"MMM-YYY")</f>
        <v>Nov-2023</v>
      </c>
      <c r="U981" t="str">
        <f>TEXT(SalesData[[#This Row],[Date]],"YYYY")&amp;"  Q"&amp;INT(MONTH(SalesData[[#This Row],[Date]]/2)+3)</f>
        <v>2023  Q15</v>
      </c>
    </row>
    <row r="982" spans="1:21"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c r="T982" t="str">
        <f>TEXT(SalesData[[#This Row],[Date]],"MMM-YYY")</f>
        <v>Jan-2025</v>
      </c>
      <c r="U982" t="str">
        <f>TEXT(SalesData[[#This Row],[Date]],"YYYY")&amp;"  Q"&amp;INT(MONTH(SalesData[[#This Row],[Date]]/2)+3)</f>
        <v>2025  Q10</v>
      </c>
    </row>
    <row r="983" spans="1:21"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c r="T983" t="str">
        <f>TEXT(SalesData[[#This Row],[Date]],"MMM-YYY")</f>
        <v>Apr-2024</v>
      </c>
      <c r="U983" t="str">
        <f>TEXT(SalesData[[#This Row],[Date]],"YYYY")&amp;"  Q"&amp;INT(MONTH(SalesData[[#This Row],[Date]]/2)+3)</f>
        <v>2024  Q5</v>
      </c>
    </row>
    <row r="984" spans="1:21"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c r="T984" t="str">
        <f>TEXT(SalesData[[#This Row],[Date]],"MMM-YYY")</f>
        <v>Nov-2023</v>
      </c>
      <c r="U984" t="str">
        <f>TEXT(SalesData[[#This Row],[Date]],"YYYY")&amp;"  Q"&amp;INT(MONTH(SalesData[[#This Row],[Date]]/2)+3)</f>
        <v>2023  Q15</v>
      </c>
    </row>
    <row r="985" spans="1:21"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c r="T985" t="str">
        <f>TEXT(SalesData[[#This Row],[Date]],"MMM-YYY")</f>
        <v>Mar-2023</v>
      </c>
      <c r="U985" t="str">
        <f>TEXT(SalesData[[#This Row],[Date]],"YYYY")&amp;"  Q"&amp;INT(MONTH(SalesData[[#This Row],[Date]]/2)+3)</f>
        <v>2023  Q11</v>
      </c>
    </row>
    <row r="986" spans="1:21"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c r="T986" t="str">
        <f>TEXT(SalesData[[#This Row],[Date]],"MMM-YYY")</f>
        <v>Mar-2024</v>
      </c>
      <c r="U986" t="str">
        <f>TEXT(SalesData[[#This Row],[Date]],"YYYY")&amp;"  Q"&amp;INT(MONTH(SalesData[[#This Row],[Date]]/2)+3)</f>
        <v>2024  Q4</v>
      </c>
    </row>
    <row r="987" spans="1:21"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c r="T987" t="str">
        <f>TEXT(SalesData[[#This Row],[Date]],"MMM-YYY")</f>
        <v>Jul-2023</v>
      </c>
      <c r="U987" t="str">
        <f>TEXT(SalesData[[#This Row],[Date]],"YYYY")&amp;"  Q"&amp;INT(MONTH(SalesData[[#This Row],[Date]]/2)+3)</f>
        <v>2023  Q13</v>
      </c>
    </row>
    <row r="988" spans="1:21"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c r="T988" t="str">
        <f>TEXT(SalesData[[#This Row],[Date]],"MMM-YYY")</f>
        <v>Sep-2024</v>
      </c>
      <c r="U988" t="str">
        <f>TEXT(SalesData[[#This Row],[Date]],"YYYY")&amp;"  Q"&amp;INT(MONTH(SalesData[[#This Row],[Date]]/2)+3)</f>
        <v>2024  Q8</v>
      </c>
    </row>
    <row r="989" spans="1:21"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c r="T989" t="str">
        <f>TEXT(SalesData[[#This Row],[Date]],"MMM-YYY")</f>
        <v>Feb-2025</v>
      </c>
      <c r="U989" t="str">
        <f>TEXT(SalesData[[#This Row],[Date]],"YYYY")&amp;"  Q"&amp;INT(MONTH(SalesData[[#This Row],[Date]]/2)+3)</f>
        <v>2025  Q10</v>
      </c>
    </row>
    <row r="990" spans="1:21"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c r="T990" t="str">
        <f>TEXT(SalesData[[#This Row],[Date]],"MMM-YYY")</f>
        <v>Jul-2024</v>
      </c>
      <c r="U990" t="str">
        <f>TEXT(SalesData[[#This Row],[Date]],"YYYY")&amp;"  Q"&amp;INT(MONTH(SalesData[[#This Row],[Date]]/2)+3)</f>
        <v>2024  Q7</v>
      </c>
    </row>
    <row r="991" spans="1:21"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c r="T991" t="str">
        <f>TEXT(SalesData[[#This Row],[Date]],"MMM-YYY")</f>
        <v>Nov-2023</v>
      </c>
      <c r="U991" t="str">
        <f>TEXT(SalesData[[#This Row],[Date]],"YYYY")&amp;"  Q"&amp;INT(MONTH(SalesData[[#This Row],[Date]]/2)+3)</f>
        <v>2023  Q15</v>
      </c>
    </row>
    <row r="992" spans="1:21"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c r="T992" t="str">
        <f>TEXT(SalesData[[#This Row],[Date]],"MMM-YYY")</f>
        <v>Sep-2023</v>
      </c>
      <c r="U992" t="str">
        <f>TEXT(SalesData[[#This Row],[Date]],"YYYY")&amp;"  Q"&amp;INT(MONTH(SalesData[[#This Row],[Date]]/2)+3)</f>
        <v>2023  Q14</v>
      </c>
    </row>
    <row r="993" spans="1:21"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c r="T993" t="str">
        <f>TEXT(SalesData[[#This Row],[Date]],"MMM-YYY")</f>
        <v>Feb-2024</v>
      </c>
      <c r="U993" t="str">
        <f>TEXT(SalesData[[#This Row],[Date]],"YYYY")&amp;"  Q"&amp;INT(MONTH(SalesData[[#This Row],[Date]]/2)+3)</f>
        <v>2024  Q4</v>
      </c>
    </row>
    <row r="994" spans="1:21"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c r="T994" t="str">
        <f>TEXT(SalesData[[#This Row],[Date]],"MMM-YYY")</f>
        <v>May-2025</v>
      </c>
      <c r="U994" t="str">
        <f>TEXT(SalesData[[#This Row],[Date]],"YYYY")&amp;"  Q"&amp;INT(MONTH(SalesData[[#This Row],[Date]]/2)+3)</f>
        <v>2025  Q12</v>
      </c>
    </row>
    <row r="995" spans="1:21"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c r="T995" t="str">
        <f>TEXT(SalesData[[#This Row],[Date]],"MMM-YYY")</f>
        <v>Jan-2025</v>
      </c>
      <c r="U995" t="str">
        <f>TEXT(SalesData[[#This Row],[Date]],"YYYY")&amp;"  Q"&amp;INT(MONTH(SalesData[[#This Row],[Date]]/2)+3)</f>
        <v>2025  Q10</v>
      </c>
    </row>
    <row r="996" spans="1:21"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c r="T996" t="str">
        <f>TEXT(SalesData[[#This Row],[Date]],"MMM-YYY")</f>
        <v>Sep-2023</v>
      </c>
      <c r="U996" t="str">
        <f>TEXT(SalesData[[#This Row],[Date]],"YYYY")&amp;"  Q"&amp;INT(MONTH(SalesData[[#This Row],[Date]]/2)+3)</f>
        <v>2023  Q13</v>
      </c>
    </row>
    <row r="997" spans="1:21"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c r="T997" t="str">
        <f>TEXT(SalesData[[#This Row],[Date]],"MMM-YYY")</f>
        <v>Jun-2023</v>
      </c>
      <c r="U997" t="str">
        <f>TEXT(SalesData[[#This Row],[Date]],"YYYY")&amp;"  Q"&amp;INT(MONTH(SalesData[[#This Row],[Date]]/2)+3)</f>
        <v>2023  Q12</v>
      </c>
    </row>
    <row r="998" spans="1:21"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c r="T998" t="str">
        <f>TEXT(SalesData[[#This Row],[Date]],"MMM-YYY")</f>
        <v>Jan-2024</v>
      </c>
      <c r="U998" t="str">
        <f>TEXT(SalesData[[#This Row],[Date]],"YYYY")&amp;"  Q"&amp;INT(MONTH(SalesData[[#This Row],[Date]]/2)+3)</f>
        <v>2024  Q4</v>
      </c>
    </row>
    <row r="999" spans="1:21"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c r="T999" t="str">
        <f>TEXT(SalesData[[#This Row],[Date]],"MMM-YYY")</f>
        <v>Jun-2024</v>
      </c>
      <c r="U999" t="str">
        <f>TEXT(SalesData[[#This Row],[Date]],"YYYY")&amp;"  Q"&amp;INT(MONTH(SalesData[[#This Row],[Date]]/2)+3)</f>
        <v>2024  Q6</v>
      </c>
    </row>
    <row r="1000" spans="1:21"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c r="T1000" t="str">
        <f>TEXT(SalesData[[#This Row],[Date]],"MMM-YYY")</f>
        <v>Dec-2024</v>
      </c>
      <c r="U1000" t="str">
        <f>TEXT(SalesData[[#This Row],[Date]],"YYYY")&amp;"  Q"&amp;INT(MONTH(SalesData[[#This Row],[Date]]/2)+3)</f>
        <v>2024  Q9</v>
      </c>
    </row>
    <row r="1001" spans="1:21"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c r="T1001" t="str">
        <f>TEXT(SalesData[[#This Row],[Date]],"MMM-YYY")</f>
        <v>Feb-2024</v>
      </c>
      <c r="U1001" t="str">
        <f>TEXT(SalesData[[#This Row],[Date]],"YYYY")&amp;"  Q"&amp;INT(MONTH(SalesData[[#This Row],[Date]]/2)+3)</f>
        <v>2024  Q4</v>
      </c>
    </row>
    <row r="1002" spans="1:21"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c r="T1002" t="str">
        <f>TEXT(SalesData[[#This Row],[Date]],"MMM-YYY")</f>
        <v>Jul-2023</v>
      </c>
      <c r="U1002" t="str">
        <f>TEXT(SalesData[[#This Row],[Date]],"YYYY")&amp;"  Q"&amp;INT(MONTH(SalesData[[#This Row],[Date]]/2)+3)</f>
        <v>2023  Q13</v>
      </c>
    </row>
    <row r="1003" spans="1:21"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c r="T1003" t="str">
        <f>TEXT(SalesData[[#This Row],[Date]],"MMM-YYY")</f>
        <v>Oct-2024</v>
      </c>
      <c r="U1003" t="str">
        <f>TEXT(SalesData[[#This Row],[Date]],"YYYY")&amp;"  Q"&amp;INT(MONTH(SalesData[[#This Row],[Date]]/2)+3)</f>
        <v>2024  Q8</v>
      </c>
    </row>
    <row r="1004" spans="1:21"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c r="T1004" t="str">
        <f>TEXT(SalesData[[#This Row],[Date]],"MMM-YYY")</f>
        <v>Dec-2024</v>
      </c>
      <c r="U1004" t="str">
        <f>TEXT(SalesData[[#This Row],[Date]],"YYYY")&amp;"  Q"&amp;INT(MONTH(SalesData[[#This Row],[Date]]/2)+3)</f>
        <v>2024  Q9</v>
      </c>
    </row>
    <row r="1005" spans="1:21"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c r="T1005" t="str">
        <f>TEXT(SalesData[[#This Row],[Date]],"MMM-YYY")</f>
        <v>Sep-2024</v>
      </c>
      <c r="U1005" t="str">
        <f>TEXT(SalesData[[#This Row],[Date]],"YYYY")&amp;"  Q"&amp;INT(MONTH(SalesData[[#This Row],[Date]]/2)+3)</f>
        <v>2024  Q8</v>
      </c>
    </row>
    <row r="1006" spans="1:21"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c r="T1006" t="str">
        <f>TEXT(SalesData[[#This Row],[Date]],"MMM-YYY")</f>
        <v>Feb-2025</v>
      </c>
      <c r="U1006" t="str">
        <f>TEXT(SalesData[[#This Row],[Date]],"YYYY")&amp;"  Q"&amp;INT(MONTH(SalesData[[#This Row],[Date]]/2)+3)</f>
        <v>2025  Q10</v>
      </c>
    </row>
    <row r="1007" spans="1:21"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c r="T1007" t="str">
        <f>TEXT(SalesData[[#This Row],[Date]],"MMM-YYY")</f>
        <v>May-2025</v>
      </c>
      <c r="U1007" t="str">
        <f>TEXT(SalesData[[#This Row],[Date]],"YYYY")&amp;"  Q"&amp;INT(MONTH(SalesData[[#This Row],[Date]]/2)+3)</f>
        <v>2025  Q12</v>
      </c>
    </row>
    <row r="1008" spans="1:21"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c r="T1008" t="str">
        <f>TEXT(SalesData[[#This Row],[Date]],"MMM-YYY")</f>
        <v>Dec-2024</v>
      </c>
      <c r="U1008" t="str">
        <f>TEXT(SalesData[[#This Row],[Date]],"YYYY")&amp;"  Q"&amp;INT(MONTH(SalesData[[#This Row],[Date]]/2)+3)</f>
        <v>2024  Q9</v>
      </c>
    </row>
    <row r="1009" spans="1:21"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c r="T1009" t="str">
        <f>TEXT(SalesData[[#This Row],[Date]],"MMM-YYY")</f>
        <v>Apr-2023</v>
      </c>
      <c r="U1009" t="str">
        <f>TEXT(SalesData[[#This Row],[Date]],"YYYY")&amp;"  Q"&amp;INT(MONTH(SalesData[[#This Row],[Date]]/2)+3)</f>
        <v>2023  Q11</v>
      </c>
    </row>
    <row r="1010" spans="1:21"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c r="T1010" t="str">
        <f>TEXT(SalesData[[#This Row],[Date]],"MMM-YYY")</f>
        <v>Aug-2024</v>
      </c>
      <c r="U1010" t="str">
        <f>TEXT(SalesData[[#This Row],[Date]],"YYYY")&amp;"  Q"&amp;INT(MONTH(SalesData[[#This Row],[Date]]/2)+3)</f>
        <v>2024  Q7</v>
      </c>
    </row>
    <row r="1011" spans="1:21"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c r="T1011" t="str">
        <f>TEXT(SalesData[[#This Row],[Date]],"MMM-YYY")</f>
        <v>Sep-2023</v>
      </c>
      <c r="U1011" t="str">
        <f>TEXT(SalesData[[#This Row],[Date]],"YYYY")&amp;"  Q"&amp;INT(MONTH(SalesData[[#This Row],[Date]]/2)+3)</f>
        <v>2023  Q14</v>
      </c>
    </row>
    <row r="1012" spans="1:21"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c r="T1012" t="str">
        <f>TEXT(SalesData[[#This Row],[Date]],"MMM-YYY")</f>
        <v>May-2025</v>
      </c>
      <c r="U1012" t="str">
        <f>TEXT(SalesData[[#This Row],[Date]],"YYYY")&amp;"  Q"&amp;INT(MONTH(SalesData[[#This Row],[Date]]/2)+3)</f>
        <v>2025  Q12</v>
      </c>
    </row>
    <row r="1013" spans="1:21"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c r="T1013" t="str">
        <f>TEXT(SalesData[[#This Row],[Date]],"MMM-YYY")</f>
        <v>Jun-2023</v>
      </c>
      <c r="U1013" t="str">
        <f>TEXT(SalesData[[#This Row],[Date]],"YYYY")&amp;"  Q"&amp;INT(MONTH(SalesData[[#This Row],[Date]]/2)+3)</f>
        <v>2023  Q12</v>
      </c>
    </row>
    <row r="1014" spans="1:21"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c r="T1014" t="str">
        <f>TEXT(SalesData[[#This Row],[Date]],"MMM-YYY")</f>
        <v>Jun-2025</v>
      </c>
      <c r="U1014" t="str">
        <f>TEXT(SalesData[[#This Row],[Date]],"YYYY")&amp;"  Q"&amp;INT(MONTH(SalesData[[#This Row],[Date]]/2)+3)</f>
        <v>2025  Q12</v>
      </c>
    </row>
    <row r="1015" spans="1:21"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c r="T1015" t="str">
        <f>TEXT(SalesData[[#This Row],[Date]],"MMM-YYY")</f>
        <v>Sep-2024</v>
      </c>
      <c r="U1015" t="str">
        <f>TEXT(SalesData[[#This Row],[Date]],"YYYY")&amp;"  Q"&amp;INT(MONTH(SalesData[[#This Row],[Date]]/2)+3)</f>
        <v>2024  Q8</v>
      </c>
    </row>
    <row r="1016" spans="1:21"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c r="T1016" t="str">
        <f>TEXT(SalesData[[#This Row],[Date]],"MMM-YYY")</f>
        <v>Feb-2024</v>
      </c>
      <c r="U1016" t="str">
        <f>TEXT(SalesData[[#This Row],[Date]],"YYYY")&amp;"  Q"&amp;INT(MONTH(SalesData[[#This Row],[Date]]/2)+3)</f>
        <v>2024  Q4</v>
      </c>
    </row>
    <row r="1017" spans="1:21"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c r="T1017" t="str">
        <f>TEXT(SalesData[[#This Row],[Date]],"MMM-YYY")</f>
        <v>Mar-2024</v>
      </c>
      <c r="U1017" t="str">
        <f>TEXT(SalesData[[#This Row],[Date]],"YYYY")&amp;"  Q"&amp;INT(MONTH(SalesData[[#This Row],[Date]]/2)+3)</f>
        <v>2024  Q5</v>
      </c>
    </row>
    <row r="1018" spans="1:21"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c r="T1018" t="str">
        <f>TEXT(SalesData[[#This Row],[Date]],"MMM-YYY")</f>
        <v>Feb-2024</v>
      </c>
      <c r="U1018" t="str">
        <f>TEXT(SalesData[[#This Row],[Date]],"YYYY")&amp;"  Q"&amp;INT(MONTH(SalesData[[#This Row],[Date]]/2)+3)</f>
        <v>2024  Q4</v>
      </c>
    </row>
    <row r="1019" spans="1:21"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c r="T1019" t="str">
        <f>TEXT(SalesData[[#This Row],[Date]],"MMM-YYY")</f>
        <v>Nov-2023</v>
      </c>
      <c r="U1019" t="str">
        <f>TEXT(SalesData[[#This Row],[Date]],"YYYY")&amp;"  Q"&amp;INT(MONTH(SalesData[[#This Row],[Date]]/2)+3)</f>
        <v>2023  Q15</v>
      </c>
    </row>
    <row r="1020" spans="1:21"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c r="T1020" t="str">
        <f>TEXT(SalesData[[#This Row],[Date]],"MMM-YYY")</f>
        <v>Jan-2023</v>
      </c>
      <c r="U1020" t="str">
        <f>TEXT(SalesData[[#This Row],[Date]],"YYYY")&amp;"  Q"&amp;INT(MONTH(SalesData[[#This Row],[Date]]/2)+3)</f>
        <v>2023  Q10</v>
      </c>
    </row>
    <row r="1021" spans="1:21"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c r="T1021" t="str">
        <f>TEXT(SalesData[[#This Row],[Date]],"MMM-YYY")</f>
        <v>Feb-2023</v>
      </c>
      <c r="U1021" t="str">
        <f>TEXT(SalesData[[#This Row],[Date]],"YYYY")&amp;"  Q"&amp;INT(MONTH(SalesData[[#This Row],[Date]]/2)+3)</f>
        <v>2023  Q10</v>
      </c>
    </row>
    <row r="1022" spans="1:21"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c r="T1022" t="str">
        <f>TEXT(SalesData[[#This Row],[Date]],"MMM-YYY")</f>
        <v>Apr-2025</v>
      </c>
      <c r="U1022" t="str">
        <f>TEXT(SalesData[[#This Row],[Date]],"YYYY")&amp;"  Q"&amp;INT(MONTH(SalesData[[#This Row],[Date]]/2)+3)</f>
        <v>2025  Q11</v>
      </c>
    </row>
    <row r="1023" spans="1:21"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c r="T1023" t="str">
        <f>TEXT(SalesData[[#This Row],[Date]],"MMM-YYY")</f>
        <v>Feb-2024</v>
      </c>
      <c r="U1023" t="str">
        <f>TEXT(SalesData[[#This Row],[Date]],"YYYY")&amp;"  Q"&amp;INT(MONTH(SalesData[[#This Row],[Date]]/2)+3)</f>
        <v>2024  Q4</v>
      </c>
    </row>
    <row r="1024" spans="1:21"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c r="T1024" t="str">
        <f>TEXT(SalesData[[#This Row],[Date]],"MMM-YYY")</f>
        <v>May-2025</v>
      </c>
      <c r="U1024" t="str">
        <f>TEXT(SalesData[[#This Row],[Date]],"YYYY")&amp;"  Q"&amp;INT(MONTH(SalesData[[#This Row],[Date]]/2)+3)</f>
        <v>2025  Q12</v>
      </c>
    </row>
    <row r="1025" spans="1:21"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c r="T1025" t="str">
        <f>TEXT(SalesData[[#This Row],[Date]],"MMM-YYY")</f>
        <v>Sep-2023</v>
      </c>
      <c r="U1025" t="str">
        <f>TEXT(SalesData[[#This Row],[Date]],"YYYY")&amp;"  Q"&amp;INT(MONTH(SalesData[[#This Row],[Date]]/2)+3)</f>
        <v>2023  Q14</v>
      </c>
    </row>
    <row r="1026" spans="1:21"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c r="T1026" t="str">
        <f>TEXT(SalesData[[#This Row],[Date]],"MMM-YYY")</f>
        <v>May-2023</v>
      </c>
      <c r="U1026" t="str">
        <f>TEXT(SalesData[[#This Row],[Date]],"YYYY")&amp;"  Q"&amp;INT(MONTH(SalesData[[#This Row],[Date]]/2)+3)</f>
        <v>2023  Q12</v>
      </c>
    </row>
    <row r="1027" spans="1:21"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c r="T1027" t="str">
        <f>TEXT(SalesData[[#This Row],[Date]],"MMM-YYY")</f>
        <v>Jan-2024</v>
      </c>
      <c r="U1027" t="str">
        <f>TEXT(SalesData[[#This Row],[Date]],"YYYY")&amp;"  Q"&amp;INT(MONTH(SalesData[[#This Row],[Date]]/2)+3)</f>
        <v>2024  Q4</v>
      </c>
    </row>
    <row r="1028" spans="1:21"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c r="T1028" t="str">
        <f>TEXT(SalesData[[#This Row],[Date]],"MMM-YYY")</f>
        <v>May-2025</v>
      </c>
      <c r="U1028" t="str">
        <f>TEXT(SalesData[[#This Row],[Date]],"YYYY")&amp;"  Q"&amp;INT(MONTH(SalesData[[#This Row],[Date]]/2)+3)</f>
        <v>2025  Q12</v>
      </c>
    </row>
    <row r="1029" spans="1:21"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c r="T1029" t="str">
        <f>TEXT(SalesData[[#This Row],[Date]],"MMM-YYY")</f>
        <v>Apr-2024</v>
      </c>
      <c r="U1029" t="str">
        <f>TEXT(SalesData[[#This Row],[Date]],"YYYY")&amp;"  Q"&amp;INT(MONTH(SalesData[[#This Row],[Date]]/2)+3)</f>
        <v>2024  Q5</v>
      </c>
    </row>
    <row r="1030" spans="1:21"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c r="T1030" t="str">
        <f>TEXT(SalesData[[#This Row],[Date]],"MMM-YYY")</f>
        <v>Aug-2024</v>
      </c>
      <c r="U1030" t="str">
        <f>TEXT(SalesData[[#This Row],[Date]],"YYYY")&amp;"  Q"&amp;INT(MONTH(SalesData[[#This Row],[Date]]/2)+3)</f>
        <v>2024  Q7</v>
      </c>
    </row>
    <row r="1031" spans="1:21"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c r="T1031" t="str">
        <f>TEXT(SalesData[[#This Row],[Date]],"MMM-YYY")</f>
        <v>Jul-2024</v>
      </c>
      <c r="U1031" t="str">
        <f>TEXT(SalesData[[#This Row],[Date]],"YYYY")&amp;"  Q"&amp;INT(MONTH(SalesData[[#This Row],[Date]]/2)+3)</f>
        <v>2024  Q7</v>
      </c>
    </row>
    <row r="1032" spans="1:21"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c r="T1032" t="str">
        <f>TEXT(SalesData[[#This Row],[Date]],"MMM-YYY")</f>
        <v>Jun-2024</v>
      </c>
      <c r="U1032" t="str">
        <f>TEXT(SalesData[[#This Row],[Date]],"YYYY")&amp;"  Q"&amp;INT(MONTH(SalesData[[#This Row],[Date]]/2)+3)</f>
        <v>2024  Q6</v>
      </c>
    </row>
    <row r="1033" spans="1:21"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c r="T1033" t="str">
        <f>TEXT(SalesData[[#This Row],[Date]],"MMM-YYY")</f>
        <v>May-2024</v>
      </c>
      <c r="U1033" t="str">
        <f>TEXT(SalesData[[#This Row],[Date]],"YYYY")&amp;"  Q"&amp;INT(MONTH(SalesData[[#This Row],[Date]]/2)+3)</f>
        <v>2024  Q6</v>
      </c>
    </row>
    <row r="1034" spans="1:21"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c r="T1034" t="str">
        <f>TEXT(SalesData[[#This Row],[Date]],"MMM-YYY")</f>
        <v>Jan-2024</v>
      </c>
      <c r="U1034" t="str">
        <f>TEXT(SalesData[[#This Row],[Date]],"YYYY")&amp;"  Q"&amp;INT(MONTH(SalesData[[#This Row],[Date]]/2)+3)</f>
        <v>2024  Q4</v>
      </c>
    </row>
    <row r="1035" spans="1:21"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c r="T1035" t="str">
        <f>TEXT(SalesData[[#This Row],[Date]],"MMM-YYY")</f>
        <v>Oct-2024</v>
      </c>
      <c r="U1035" t="str">
        <f>TEXT(SalesData[[#This Row],[Date]],"YYYY")&amp;"  Q"&amp;INT(MONTH(SalesData[[#This Row],[Date]]/2)+3)</f>
        <v>2024  Q9</v>
      </c>
    </row>
    <row r="1036" spans="1:21"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c r="T1036" t="str">
        <f>TEXT(SalesData[[#This Row],[Date]],"MMM-YYY")</f>
        <v>Apr-2024</v>
      </c>
      <c r="U1036" t="str">
        <f>TEXT(SalesData[[#This Row],[Date]],"YYYY")&amp;"  Q"&amp;INT(MONTH(SalesData[[#This Row],[Date]]/2)+3)</f>
        <v>2024  Q5</v>
      </c>
    </row>
    <row r="1037" spans="1:21"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c r="T1037" t="str">
        <f>TEXT(SalesData[[#This Row],[Date]],"MMM-YYY")</f>
        <v>Jun-2023</v>
      </c>
      <c r="U1037" t="str">
        <f>TEXT(SalesData[[#This Row],[Date]],"YYYY")&amp;"  Q"&amp;INT(MONTH(SalesData[[#This Row],[Date]]/2)+3)</f>
        <v>2023  Q12</v>
      </c>
    </row>
    <row r="1038" spans="1:21"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c r="T1038" t="str">
        <f>TEXT(SalesData[[#This Row],[Date]],"MMM-YYY")</f>
        <v>Feb-2024</v>
      </c>
      <c r="U1038" t="str">
        <f>TEXT(SalesData[[#This Row],[Date]],"YYYY")&amp;"  Q"&amp;INT(MONTH(SalesData[[#This Row],[Date]]/2)+3)</f>
        <v>2024  Q4</v>
      </c>
    </row>
    <row r="1039" spans="1:21"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c r="T1039" t="str">
        <f>TEXT(SalesData[[#This Row],[Date]],"MMM-YYY")</f>
        <v>Jun-2024</v>
      </c>
      <c r="U1039" t="str">
        <f>TEXT(SalesData[[#This Row],[Date]],"YYYY")&amp;"  Q"&amp;INT(MONTH(SalesData[[#This Row],[Date]]/2)+3)</f>
        <v>2024  Q6</v>
      </c>
    </row>
    <row r="1040" spans="1:21"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c r="T1040" t="str">
        <f>TEXT(SalesData[[#This Row],[Date]],"MMM-YYY")</f>
        <v>Mar-2023</v>
      </c>
      <c r="U1040" t="str">
        <f>TEXT(SalesData[[#This Row],[Date]],"YYYY")&amp;"  Q"&amp;INT(MONTH(SalesData[[#This Row],[Date]]/2)+3)</f>
        <v>2023  Q11</v>
      </c>
    </row>
    <row r="1041" spans="1:21"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c r="T1041" t="str">
        <f>TEXT(SalesData[[#This Row],[Date]],"MMM-YYY")</f>
        <v>Mar-2023</v>
      </c>
      <c r="U1041" t="str">
        <f>TEXT(SalesData[[#This Row],[Date]],"YYYY")&amp;"  Q"&amp;INT(MONTH(SalesData[[#This Row],[Date]]/2)+3)</f>
        <v>2023  Q11</v>
      </c>
    </row>
    <row r="1042" spans="1:21"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c r="T1042" t="str">
        <f>TEXT(SalesData[[#This Row],[Date]],"MMM-YYY")</f>
        <v>May-2024</v>
      </c>
      <c r="U1042" t="str">
        <f>TEXT(SalesData[[#This Row],[Date]],"YYYY")&amp;"  Q"&amp;INT(MONTH(SalesData[[#This Row],[Date]]/2)+3)</f>
        <v>2024  Q6</v>
      </c>
    </row>
    <row r="1043" spans="1:21"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c r="T1043" t="str">
        <f>TEXT(SalesData[[#This Row],[Date]],"MMM-YYY")</f>
        <v>Mar-2023</v>
      </c>
      <c r="U1043" t="str">
        <f>TEXT(SalesData[[#This Row],[Date]],"YYYY")&amp;"  Q"&amp;INT(MONTH(SalesData[[#This Row],[Date]]/2)+3)</f>
        <v>2023  Q11</v>
      </c>
    </row>
    <row r="1044" spans="1:21"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c r="T1044" t="str">
        <f>TEXT(SalesData[[#This Row],[Date]],"MMM-YYY")</f>
        <v>Jun-2023</v>
      </c>
      <c r="U1044" t="str">
        <f>TEXT(SalesData[[#This Row],[Date]],"YYYY")&amp;"  Q"&amp;INT(MONTH(SalesData[[#This Row],[Date]]/2)+3)</f>
        <v>2023  Q12</v>
      </c>
    </row>
    <row r="1045" spans="1:21"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c r="T1045" t="str">
        <f>TEXT(SalesData[[#This Row],[Date]],"MMM-YYY")</f>
        <v>Oct-2023</v>
      </c>
      <c r="U1045" t="str">
        <f>TEXT(SalesData[[#This Row],[Date]],"YYYY")&amp;"  Q"&amp;INT(MONTH(SalesData[[#This Row],[Date]]/2)+3)</f>
        <v>2023  Q14</v>
      </c>
    </row>
    <row r="1046" spans="1:21"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c r="T1046" t="str">
        <f>TEXT(SalesData[[#This Row],[Date]],"MMM-YYY")</f>
        <v>Jul-2023</v>
      </c>
      <c r="U1046" t="str">
        <f>TEXT(SalesData[[#This Row],[Date]],"YYYY")&amp;"  Q"&amp;INT(MONTH(SalesData[[#This Row],[Date]]/2)+3)</f>
        <v>2023  Q13</v>
      </c>
    </row>
    <row r="1047" spans="1:21"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c r="T1047" t="str">
        <f>TEXT(SalesData[[#This Row],[Date]],"MMM-YYY")</f>
        <v>May-2023</v>
      </c>
      <c r="U1047" t="str">
        <f>TEXT(SalesData[[#This Row],[Date]],"YYYY")&amp;"  Q"&amp;INT(MONTH(SalesData[[#This Row],[Date]]/2)+3)</f>
        <v>2023  Q12</v>
      </c>
    </row>
    <row r="1048" spans="1:21"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c r="T1048" t="str">
        <f>TEXT(SalesData[[#This Row],[Date]],"MMM-YYY")</f>
        <v>Aug-2023</v>
      </c>
      <c r="U1048" t="str">
        <f>TEXT(SalesData[[#This Row],[Date]],"YYYY")&amp;"  Q"&amp;INT(MONTH(SalesData[[#This Row],[Date]]/2)+3)</f>
        <v>2023  Q13</v>
      </c>
    </row>
    <row r="1049" spans="1:21"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c r="T1049" t="str">
        <f>TEXT(SalesData[[#This Row],[Date]],"MMM-YYY")</f>
        <v>Mar-2023</v>
      </c>
      <c r="U1049" t="str">
        <f>TEXT(SalesData[[#This Row],[Date]],"YYYY")&amp;"  Q"&amp;INT(MONTH(SalesData[[#This Row],[Date]]/2)+3)</f>
        <v>2023  Q11</v>
      </c>
    </row>
    <row r="1050" spans="1:21"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c r="T1050" t="str">
        <f>TEXT(SalesData[[#This Row],[Date]],"MMM-YYY")</f>
        <v>Feb-2025</v>
      </c>
      <c r="U1050" t="str">
        <f>TEXT(SalesData[[#This Row],[Date]],"YYYY")&amp;"  Q"&amp;INT(MONTH(SalesData[[#This Row],[Date]]/2)+3)</f>
        <v>2025  Q10</v>
      </c>
    </row>
    <row r="1051" spans="1:21"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c r="T1051" t="str">
        <f>TEXT(SalesData[[#This Row],[Date]],"MMM-YYY")</f>
        <v>Dec-2024</v>
      </c>
      <c r="U1051" t="str">
        <f>TEXT(SalesData[[#This Row],[Date]],"YYYY")&amp;"  Q"&amp;INT(MONTH(SalesData[[#This Row],[Date]]/2)+3)</f>
        <v>2024  Q9</v>
      </c>
    </row>
    <row r="1052" spans="1:21"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c r="T1052" t="str">
        <f>TEXT(SalesData[[#This Row],[Date]],"MMM-YYY")</f>
        <v>Jun-2023</v>
      </c>
      <c r="U1052" t="str">
        <f>TEXT(SalesData[[#This Row],[Date]],"YYYY")&amp;"  Q"&amp;INT(MONTH(SalesData[[#This Row],[Date]]/2)+3)</f>
        <v>2023  Q12</v>
      </c>
    </row>
    <row r="1053" spans="1:21"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c r="T1053" t="str">
        <f>TEXT(SalesData[[#This Row],[Date]],"MMM-YYY")</f>
        <v>Jan-2023</v>
      </c>
      <c r="U1053" t="str">
        <f>TEXT(SalesData[[#This Row],[Date]],"YYYY")&amp;"  Q"&amp;INT(MONTH(SalesData[[#This Row],[Date]]/2)+3)</f>
        <v>2023  Q10</v>
      </c>
    </row>
    <row r="1054" spans="1:21"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c r="T1054" t="str">
        <f>TEXT(SalesData[[#This Row],[Date]],"MMM-YYY")</f>
        <v>Jun-2024</v>
      </c>
      <c r="U1054" t="str">
        <f>TEXT(SalesData[[#This Row],[Date]],"YYYY")&amp;"  Q"&amp;INT(MONTH(SalesData[[#This Row],[Date]]/2)+3)</f>
        <v>2024  Q6</v>
      </c>
    </row>
    <row r="1055" spans="1:21"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c r="T1055" t="str">
        <f>TEXT(SalesData[[#This Row],[Date]],"MMM-YYY")</f>
        <v>Apr-2025</v>
      </c>
      <c r="U1055" t="str">
        <f>TEXT(SalesData[[#This Row],[Date]],"YYYY")&amp;"  Q"&amp;INT(MONTH(SalesData[[#This Row],[Date]]/2)+3)</f>
        <v>2025  Q11</v>
      </c>
    </row>
    <row r="1056" spans="1:21"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c r="T1056" t="str">
        <f>TEXT(SalesData[[#This Row],[Date]],"MMM-YYY")</f>
        <v>Jan-2025</v>
      </c>
      <c r="U1056" t="str">
        <f>TEXT(SalesData[[#This Row],[Date]],"YYYY")&amp;"  Q"&amp;INT(MONTH(SalesData[[#This Row],[Date]]/2)+3)</f>
        <v>2025  Q10</v>
      </c>
    </row>
    <row r="1057" spans="1:21"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c r="T1057" t="str">
        <f>TEXT(SalesData[[#This Row],[Date]],"MMM-YYY")</f>
        <v>Jul-2024</v>
      </c>
      <c r="U1057" t="str">
        <f>TEXT(SalesData[[#This Row],[Date]],"YYYY")&amp;"  Q"&amp;INT(MONTH(SalesData[[#This Row],[Date]]/2)+3)</f>
        <v>2024  Q7</v>
      </c>
    </row>
    <row r="1058" spans="1:21"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c r="T1058" t="str">
        <f>TEXT(SalesData[[#This Row],[Date]],"MMM-YYY")</f>
        <v>Jan-2025</v>
      </c>
      <c r="U1058" t="str">
        <f>TEXT(SalesData[[#This Row],[Date]],"YYYY")&amp;"  Q"&amp;INT(MONTH(SalesData[[#This Row],[Date]]/2)+3)</f>
        <v>2025  Q10</v>
      </c>
    </row>
    <row r="1059" spans="1:21"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c r="T1059" t="str">
        <f>TEXT(SalesData[[#This Row],[Date]],"MMM-YYY")</f>
        <v>Oct-2023</v>
      </c>
      <c r="U1059" t="str">
        <f>TEXT(SalesData[[#This Row],[Date]],"YYYY")&amp;"  Q"&amp;INT(MONTH(SalesData[[#This Row],[Date]]/2)+3)</f>
        <v>2023  Q14</v>
      </c>
    </row>
    <row r="1060" spans="1:21"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c r="T1060" t="str">
        <f>TEXT(SalesData[[#This Row],[Date]],"MMM-YYY")</f>
        <v>Sep-2023</v>
      </c>
      <c r="U1060" t="str">
        <f>TEXT(SalesData[[#This Row],[Date]],"YYYY")&amp;"  Q"&amp;INT(MONTH(SalesData[[#This Row],[Date]]/2)+3)</f>
        <v>2023  Q14</v>
      </c>
    </row>
    <row r="1061" spans="1:21"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c r="T1061" t="str">
        <f>TEXT(SalesData[[#This Row],[Date]],"MMM-YYY")</f>
        <v>Mar-2023</v>
      </c>
      <c r="U1061" t="str">
        <f>TEXT(SalesData[[#This Row],[Date]],"YYYY")&amp;"  Q"&amp;INT(MONTH(SalesData[[#This Row],[Date]]/2)+3)</f>
        <v>2023  Q11</v>
      </c>
    </row>
    <row r="1062" spans="1:21"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c r="T1062" t="str">
        <f>TEXT(SalesData[[#This Row],[Date]],"MMM-YYY")</f>
        <v>Jul-2023</v>
      </c>
      <c r="U1062" t="str">
        <f>TEXT(SalesData[[#This Row],[Date]],"YYYY")&amp;"  Q"&amp;INT(MONTH(SalesData[[#This Row],[Date]]/2)+3)</f>
        <v>2023  Q13</v>
      </c>
    </row>
    <row r="1063" spans="1:21"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c r="T1063" t="str">
        <f>TEXT(SalesData[[#This Row],[Date]],"MMM-YYY")</f>
        <v>Jul-2023</v>
      </c>
      <c r="U1063" t="str">
        <f>TEXT(SalesData[[#This Row],[Date]],"YYYY")&amp;"  Q"&amp;INT(MONTH(SalesData[[#This Row],[Date]]/2)+3)</f>
        <v>2023  Q13</v>
      </c>
    </row>
    <row r="1064" spans="1:21"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c r="T1064" t="str">
        <f>TEXT(SalesData[[#This Row],[Date]],"MMM-YYY")</f>
        <v>Aug-2024</v>
      </c>
      <c r="U1064" t="str">
        <f>TEXT(SalesData[[#This Row],[Date]],"YYYY")&amp;"  Q"&amp;INT(MONTH(SalesData[[#This Row],[Date]]/2)+3)</f>
        <v>2024  Q7</v>
      </c>
    </row>
    <row r="1065" spans="1:21"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c r="T1065" t="str">
        <f>TEXT(SalesData[[#This Row],[Date]],"MMM-YYY")</f>
        <v>Jul-2024</v>
      </c>
      <c r="U1065" t="str">
        <f>TEXT(SalesData[[#This Row],[Date]],"YYYY")&amp;"  Q"&amp;INT(MONTH(SalesData[[#This Row],[Date]]/2)+3)</f>
        <v>2024  Q7</v>
      </c>
    </row>
    <row r="1066" spans="1:21"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c r="T1066" t="str">
        <f>TEXT(SalesData[[#This Row],[Date]],"MMM-YYY")</f>
        <v>Jan-2024</v>
      </c>
      <c r="U1066" t="str">
        <f>TEXT(SalesData[[#This Row],[Date]],"YYYY")&amp;"  Q"&amp;INT(MONTH(SalesData[[#This Row],[Date]]/2)+3)</f>
        <v>2024  Q4</v>
      </c>
    </row>
    <row r="1067" spans="1:21"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c r="T1067" t="str">
        <f>TEXT(SalesData[[#This Row],[Date]],"MMM-YYY")</f>
        <v>Apr-2023</v>
      </c>
      <c r="U1067" t="str">
        <f>TEXT(SalesData[[#This Row],[Date]],"YYYY")&amp;"  Q"&amp;INT(MONTH(SalesData[[#This Row],[Date]]/2)+3)</f>
        <v>2023  Q11</v>
      </c>
    </row>
    <row r="1068" spans="1:21"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c r="T1068" t="str">
        <f>TEXT(SalesData[[#This Row],[Date]],"MMM-YYY")</f>
        <v>Feb-2025</v>
      </c>
      <c r="U1068" t="str">
        <f>TEXT(SalesData[[#This Row],[Date]],"YYYY")&amp;"  Q"&amp;INT(MONTH(SalesData[[#This Row],[Date]]/2)+3)</f>
        <v>2025  Q10</v>
      </c>
    </row>
    <row r="1069" spans="1:21"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c r="T1069" t="str">
        <f>TEXT(SalesData[[#This Row],[Date]],"MMM-YYY")</f>
        <v>Aug-2024</v>
      </c>
      <c r="U1069" t="str">
        <f>TEXT(SalesData[[#This Row],[Date]],"YYYY")&amp;"  Q"&amp;INT(MONTH(SalesData[[#This Row],[Date]]/2)+3)</f>
        <v>2024  Q7</v>
      </c>
    </row>
    <row r="1070" spans="1:21"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c r="T1070" t="str">
        <f>TEXT(SalesData[[#This Row],[Date]],"MMM-YYY")</f>
        <v>Aug-2023</v>
      </c>
      <c r="U1070" t="str">
        <f>TEXT(SalesData[[#This Row],[Date]],"YYYY")&amp;"  Q"&amp;INT(MONTH(SalesData[[#This Row],[Date]]/2)+3)</f>
        <v>2023  Q13</v>
      </c>
    </row>
    <row r="1071" spans="1:21"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c r="T1071" t="str">
        <f>TEXT(SalesData[[#This Row],[Date]],"MMM-YYY")</f>
        <v>Sep-2023</v>
      </c>
      <c r="U1071" t="str">
        <f>TEXT(SalesData[[#This Row],[Date]],"YYYY")&amp;"  Q"&amp;INT(MONTH(SalesData[[#This Row],[Date]]/2)+3)</f>
        <v>2023  Q14</v>
      </c>
    </row>
    <row r="1072" spans="1:21"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c r="T1072" t="str">
        <f>TEXT(SalesData[[#This Row],[Date]],"MMM-YYY")</f>
        <v>May-2025</v>
      </c>
      <c r="U1072" t="str">
        <f>TEXT(SalesData[[#This Row],[Date]],"YYYY")&amp;"  Q"&amp;INT(MONTH(SalesData[[#This Row],[Date]]/2)+3)</f>
        <v>2025  Q12</v>
      </c>
    </row>
    <row r="1073" spans="1:21"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c r="T1073" t="str">
        <f>TEXT(SalesData[[#This Row],[Date]],"MMM-YYY")</f>
        <v>Oct-2023</v>
      </c>
      <c r="U1073" t="str">
        <f>TEXT(SalesData[[#This Row],[Date]],"YYYY")&amp;"  Q"&amp;INT(MONTH(SalesData[[#This Row],[Date]]/2)+3)</f>
        <v>2023  Q14</v>
      </c>
    </row>
    <row r="1074" spans="1:21"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c r="T1074" t="str">
        <f>TEXT(SalesData[[#This Row],[Date]],"MMM-YYY")</f>
        <v>Jun-2024</v>
      </c>
      <c r="U1074" t="str">
        <f>TEXT(SalesData[[#This Row],[Date]],"YYYY")&amp;"  Q"&amp;INT(MONTH(SalesData[[#This Row],[Date]]/2)+3)</f>
        <v>2024  Q6</v>
      </c>
    </row>
    <row r="1075" spans="1:21"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c r="T1075" t="str">
        <f>TEXT(SalesData[[#This Row],[Date]],"MMM-YYY")</f>
        <v>Feb-2023</v>
      </c>
      <c r="U1075" t="str">
        <f>TEXT(SalesData[[#This Row],[Date]],"YYYY")&amp;"  Q"&amp;INT(MONTH(SalesData[[#This Row],[Date]]/2)+3)</f>
        <v>2023  Q10</v>
      </c>
    </row>
    <row r="1076" spans="1:21"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c r="T1076" t="str">
        <f>TEXT(SalesData[[#This Row],[Date]],"MMM-YYY")</f>
        <v>May-2023</v>
      </c>
      <c r="U1076" t="str">
        <f>TEXT(SalesData[[#This Row],[Date]],"YYYY")&amp;"  Q"&amp;INT(MONTH(SalesData[[#This Row],[Date]]/2)+3)</f>
        <v>2023  Q12</v>
      </c>
    </row>
    <row r="1077" spans="1:21"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c r="T1077" t="str">
        <f>TEXT(SalesData[[#This Row],[Date]],"MMM-YYY")</f>
        <v>May-2023</v>
      </c>
      <c r="U1077" t="str">
        <f>TEXT(SalesData[[#This Row],[Date]],"YYYY")&amp;"  Q"&amp;INT(MONTH(SalesData[[#This Row],[Date]]/2)+3)</f>
        <v>2023  Q12</v>
      </c>
    </row>
    <row r="1078" spans="1:21"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c r="T1078" t="str">
        <f>TEXT(SalesData[[#This Row],[Date]],"MMM-YYY")</f>
        <v>Feb-2023</v>
      </c>
      <c r="U1078" t="str">
        <f>TEXT(SalesData[[#This Row],[Date]],"YYYY")&amp;"  Q"&amp;INT(MONTH(SalesData[[#This Row],[Date]]/2)+3)</f>
        <v>2023  Q10</v>
      </c>
    </row>
    <row r="1079" spans="1:21"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c r="T1079" t="str">
        <f>TEXT(SalesData[[#This Row],[Date]],"MMM-YYY")</f>
        <v>Dec-2023</v>
      </c>
      <c r="U1079" t="str">
        <f>TEXT(SalesData[[#This Row],[Date]],"YYYY")&amp;"  Q"&amp;INT(MONTH(SalesData[[#This Row],[Date]]/2)+3)</f>
        <v>2023  Q15</v>
      </c>
    </row>
    <row r="1080" spans="1:21"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c r="T1080" t="str">
        <f>TEXT(SalesData[[#This Row],[Date]],"MMM-YYY")</f>
        <v>Jul-2023</v>
      </c>
      <c r="U1080" t="str">
        <f>TEXT(SalesData[[#This Row],[Date]],"YYYY")&amp;"  Q"&amp;INT(MONTH(SalesData[[#This Row],[Date]]/2)+3)</f>
        <v>2023  Q13</v>
      </c>
    </row>
    <row r="1081" spans="1:21"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c r="T1081" t="str">
        <f>TEXT(SalesData[[#This Row],[Date]],"MMM-YYY")</f>
        <v>Jun-2024</v>
      </c>
      <c r="U1081" t="str">
        <f>TEXT(SalesData[[#This Row],[Date]],"YYYY")&amp;"  Q"&amp;INT(MONTH(SalesData[[#This Row],[Date]]/2)+3)</f>
        <v>2024  Q6</v>
      </c>
    </row>
    <row r="1082" spans="1:21"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c r="T1082" t="str">
        <f>TEXT(SalesData[[#This Row],[Date]],"MMM-YYY")</f>
        <v>Oct-2024</v>
      </c>
      <c r="U1082" t="str">
        <f>TEXT(SalesData[[#This Row],[Date]],"YYYY")&amp;"  Q"&amp;INT(MONTH(SalesData[[#This Row],[Date]]/2)+3)</f>
        <v>2024  Q8</v>
      </c>
    </row>
    <row r="1083" spans="1:21"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c r="T1083" t="str">
        <f>TEXT(SalesData[[#This Row],[Date]],"MMM-YYY")</f>
        <v>Nov-2024</v>
      </c>
      <c r="U1083" t="str">
        <f>TEXT(SalesData[[#This Row],[Date]],"YYYY")&amp;"  Q"&amp;INT(MONTH(SalesData[[#This Row],[Date]]/2)+3)</f>
        <v>2024  Q9</v>
      </c>
    </row>
    <row r="1084" spans="1:21"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c r="T1084" t="str">
        <f>TEXT(SalesData[[#This Row],[Date]],"MMM-YYY")</f>
        <v>Feb-2024</v>
      </c>
      <c r="U1084" t="str">
        <f>TEXT(SalesData[[#This Row],[Date]],"YYYY")&amp;"  Q"&amp;INT(MONTH(SalesData[[#This Row],[Date]]/2)+3)</f>
        <v>2024  Q4</v>
      </c>
    </row>
    <row r="1085" spans="1:21"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c r="T1085" t="str">
        <f>TEXT(SalesData[[#This Row],[Date]],"MMM-YYY")</f>
        <v>Jan-2023</v>
      </c>
      <c r="U1085" t="str">
        <f>TEXT(SalesData[[#This Row],[Date]],"YYYY")&amp;"  Q"&amp;INT(MONTH(SalesData[[#This Row],[Date]]/2)+3)</f>
        <v>2023  Q10</v>
      </c>
    </row>
    <row r="1086" spans="1:21"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c r="T1086" t="str">
        <f>TEXT(SalesData[[#This Row],[Date]],"MMM-YYY")</f>
        <v>Oct-2023</v>
      </c>
      <c r="U1086" t="str">
        <f>TEXT(SalesData[[#This Row],[Date]],"YYYY")&amp;"  Q"&amp;INT(MONTH(SalesData[[#This Row],[Date]]/2)+3)</f>
        <v>2023  Q14</v>
      </c>
    </row>
    <row r="1087" spans="1:21"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c r="T1087" t="str">
        <f>TEXT(SalesData[[#This Row],[Date]],"MMM-YYY")</f>
        <v>Mar-2025</v>
      </c>
      <c r="U1087" t="str">
        <f>TEXT(SalesData[[#This Row],[Date]],"YYYY")&amp;"  Q"&amp;INT(MONTH(SalesData[[#This Row],[Date]]/2)+3)</f>
        <v>2025  Q11</v>
      </c>
    </row>
    <row r="1088" spans="1:21"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c r="T1088" t="str">
        <f>TEXT(SalesData[[#This Row],[Date]],"MMM-YYY")</f>
        <v>Dec-2024</v>
      </c>
      <c r="U1088" t="str">
        <f>TEXT(SalesData[[#This Row],[Date]],"YYYY")&amp;"  Q"&amp;INT(MONTH(SalesData[[#This Row],[Date]]/2)+3)</f>
        <v>2024  Q9</v>
      </c>
    </row>
    <row r="1089" spans="1:21"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c r="T1089" t="str">
        <f>TEXT(SalesData[[#This Row],[Date]],"MMM-YYY")</f>
        <v>Aug-2023</v>
      </c>
      <c r="U1089" t="str">
        <f>TEXT(SalesData[[#This Row],[Date]],"YYYY")&amp;"  Q"&amp;INT(MONTH(SalesData[[#This Row],[Date]]/2)+3)</f>
        <v>2023  Q13</v>
      </c>
    </row>
    <row r="1090" spans="1:21"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c r="T1090" t="str">
        <f>TEXT(SalesData[[#This Row],[Date]],"MMM-YYY")</f>
        <v>Jan-2023</v>
      </c>
      <c r="U1090" t="str">
        <f>TEXT(SalesData[[#This Row],[Date]],"YYYY")&amp;"  Q"&amp;INT(MONTH(SalesData[[#This Row],[Date]]/2)+3)</f>
        <v>2023  Q10</v>
      </c>
    </row>
    <row r="1091" spans="1:21"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c r="T1091" t="str">
        <f>TEXT(SalesData[[#This Row],[Date]],"MMM-YYY")</f>
        <v>May-2025</v>
      </c>
      <c r="U1091" t="str">
        <f>TEXT(SalesData[[#This Row],[Date]],"YYYY")&amp;"  Q"&amp;INT(MONTH(SalesData[[#This Row],[Date]]/2)+3)</f>
        <v>2025  Q12</v>
      </c>
    </row>
    <row r="1092" spans="1:21"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c r="T1092" t="str">
        <f>TEXT(SalesData[[#This Row],[Date]],"MMM-YYY")</f>
        <v>Apr-2024</v>
      </c>
      <c r="U1092" t="str">
        <f>TEXT(SalesData[[#This Row],[Date]],"YYYY")&amp;"  Q"&amp;INT(MONTH(SalesData[[#This Row],[Date]]/2)+3)</f>
        <v>2024  Q5</v>
      </c>
    </row>
    <row r="1093" spans="1:21"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c r="T1093" t="str">
        <f>TEXT(SalesData[[#This Row],[Date]],"MMM-YYY")</f>
        <v>May-2025</v>
      </c>
      <c r="U1093" t="str">
        <f>TEXT(SalesData[[#This Row],[Date]],"YYYY")&amp;"  Q"&amp;INT(MONTH(SalesData[[#This Row],[Date]]/2)+3)</f>
        <v>2025  Q12</v>
      </c>
    </row>
    <row r="1094" spans="1:21"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c r="T1094" t="str">
        <f>TEXT(SalesData[[#This Row],[Date]],"MMM-YYY")</f>
        <v>May-2023</v>
      </c>
      <c r="U1094" t="str">
        <f>TEXT(SalesData[[#This Row],[Date]],"YYYY")&amp;"  Q"&amp;INT(MONTH(SalesData[[#This Row],[Date]]/2)+3)</f>
        <v>2023  Q12</v>
      </c>
    </row>
    <row r="1095" spans="1:21"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c r="T1095" t="str">
        <f>TEXT(SalesData[[#This Row],[Date]],"MMM-YYY")</f>
        <v>Nov-2023</v>
      </c>
      <c r="U1095" t="str">
        <f>TEXT(SalesData[[#This Row],[Date]],"YYYY")&amp;"  Q"&amp;INT(MONTH(SalesData[[#This Row],[Date]]/2)+3)</f>
        <v>2023  Q15</v>
      </c>
    </row>
    <row r="1096" spans="1:21"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c r="T1096" t="str">
        <f>TEXT(SalesData[[#This Row],[Date]],"MMM-YYY")</f>
        <v>Mar-2024</v>
      </c>
      <c r="U1096" t="str">
        <f>TEXT(SalesData[[#This Row],[Date]],"YYYY")&amp;"  Q"&amp;INT(MONTH(SalesData[[#This Row],[Date]]/2)+3)</f>
        <v>2024  Q5</v>
      </c>
    </row>
    <row r="1097" spans="1:21"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c r="T1097" t="str">
        <f>TEXT(SalesData[[#This Row],[Date]],"MMM-YYY")</f>
        <v>Sep-2024</v>
      </c>
      <c r="U1097" t="str">
        <f>TEXT(SalesData[[#This Row],[Date]],"YYYY")&amp;"  Q"&amp;INT(MONTH(SalesData[[#This Row],[Date]]/2)+3)</f>
        <v>2024  Q8</v>
      </c>
    </row>
    <row r="1098" spans="1:21"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c r="T1098" t="str">
        <f>TEXT(SalesData[[#This Row],[Date]],"MMM-YYY")</f>
        <v>Apr-2023</v>
      </c>
      <c r="U1098" t="str">
        <f>TEXT(SalesData[[#This Row],[Date]],"YYYY")&amp;"  Q"&amp;INT(MONTH(SalesData[[#This Row],[Date]]/2)+3)</f>
        <v>2023  Q11</v>
      </c>
    </row>
    <row r="1099" spans="1:21"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c r="T1099" t="str">
        <f>TEXT(SalesData[[#This Row],[Date]],"MMM-YYY")</f>
        <v>Jun-2024</v>
      </c>
      <c r="U1099" t="str">
        <f>TEXT(SalesData[[#This Row],[Date]],"YYYY")&amp;"  Q"&amp;INT(MONTH(SalesData[[#This Row],[Date]]/2)+3)</f>
        <v>2024  Q6</v>
      </c>
    </row>
    <row r="1100" spans="1:21"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c r="T1100" t="str">
        <f>TEXT(SalesData[[#This Row],[Date]],"MMM-YYY")</f>
        <v>Dec-2024</v>
      </c>
      <c r="U1100" t="str">
        <f>TEXT(SalesData[[#This Row],[Date]],"YYYY")&amp;"  Q"&amp;INT(MONTH(SalesData[[#This Row],[Date]]/2)+3)</f>
        <v>2024  Q9</v>
      </c>
    </row>
    <row r="1101" spans="1:21"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c r="T1101" t="str">
        <f>TEXT(SalesData[[#This Row],[Date]],"MMM-YYY")</f>
        <v>Oct-2024</v>
      </c>
      <c r="U1101" t="str">
        <f>TEXT(SalesData[[#This Row],[Date]],"YYYY")&amp;"  Q"&amp;INT(MONTH(SalesData[[#This Row],[Date]]/2)+3)</f>
        <v>2024  Q8</v>
      </c>
    </row>
    <row r="1102" spans="1:21"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c r="T1102" t="str">
        <f>TEXT(SalesData[[#This Row],[Date]],"MMM-YYY")</f>
        <v>Sep-2023</v>
      </c>
      <c r="U1102" t="str">
        <f>TEXT(SalesData[[#This Row],[Date]],"YYYY")&amp;"  Q"&amp;INT(MONTH(SalesData[[#This Row],[Date]]/2)+3)</f>
        <v>2023  Q14</v>
      </c>
    </row>
    <row r="1103" spans="1:21"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c r="T1103" t="str">
        <f>TEXT(SalesData[[#This Row],[Date]],"MMM-YYY")</f>
        <v>Jan-2023</v>
      </c>
      <c r="U1103" t="str">
        <f>TEXT(SalesData[[#This Row],[Date]],"YYYY")&amp;"  Q"&amp;INT(MONTH(SalesData[[#This Row],[Date]]/2)+3)</f>
        <v>2023  Q10</v>
      </c>
    </row>
    <row r="1104" spans="1:21"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c r="T1104" t="str">
        <f>TEXT(SalesData[[#This Row],[Date]],"MMM-YYY")</f>
        <v>Jun-2024</v>
      </c>
      <c r="U1104" t="str">
        <f>TEXT(SalesData[[#This Row],[Date]],"YYYY")&amp;"  Q"&amp;INT(MONTH(SalesData[[#This Row],[Date]]/2)+3)</f>
        <v>2024  Q6</v>
      </c>
    </row>
    <row r="1105" spans="1:21"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c r="T1105" t="str">
        <f>TEXT(SalesData[[#This Row],[Date]],"MMM-YYY")</f>
        <v>Nov-2024</v>
      </c>
      <c r="U1105" t="str">
        <f>TEXT(SalesData[[#This Row],[Date]],"YYYY")&amp;"  Q"&amp;INT(MONTH(SalesData[[#This Row],[Date]]/2)+3)</f>
        <v>2024  Q9</v>
      </c>
    </row>
    <row r="1106" spans="1:21"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c r="T1106" t="str">
        <f>TEXT(SalesData[[#This Row],[Date]],"MMM-YYY")</f>
        <v>Aug-2023</v>
      </c>
      <c r="U1106" t="str">
        <f>TEXT(SalesData[[#This Row],[Date]],"YYYY")&amp;"  Q"&amp;INT(MONTH(SalesData[[#This Row],[Date]]/2)+3)</f>
        <v>2023  Q13</v>
      </c>
    </row>
    <row r="1107" spans="1:21"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c r="T1107" t="str">
        <f>TEXT(SalesData[[#This Row],[Date]],"MMM-YYY")</f>
        <v>Aug-2024</v>
      </c>
      <c r="U1107" t="str">
        <f>TEXT(SalesData[[#This Row],[Date]],"YYYY")&amp;"  Q"&amp;INT(MONTH(SalesData[[#This Row],[Date]]/2)+3)</f>
        <v>2024  Q7</v>
      </c>
    </row>
    <row r="1108" spans="1:21"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c r="T1108" t="str">
        <f>TEXT(SalesData[[#This Row],[Date]],"MMM-YYY")</f>
        <v>May-2023</v>
      </c>
      <c r="U1108" t="str">
        <f>TEXT(SalesData[[#This Row],[Date]],"YYYY")&amp;"  Q"&amp;INT(MONTH(SalesData[[#This Row],[Date]]/2)+3)</f>
        <v>2023  Q12</v>
      </c>
    </row>
    <row r="1109" spans="1:21"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c r="T1109" t="str">
        <f>TEXT(SalesData[[#This Row],[Date]],"MMM-YYY")</f>
        <v>Apr-2023</v>
      </c>
      <c r="U1109" t="str">
        <f>TEXT(SalesData[[#This Row],[Date]],"YYYY")&amp;"  Q"&amp;INT(MONTH(SalesData[[#This Row],[Date]]/2)+3)</f>
        <v>2023  Q11</v>
      </c>
    </row>
    <row r="1110" spans="1:21"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c r="T1110" t="str">
        <f>TEXT(SalesData[[#This Row],[Date]],"MMM-YYY")</f>
        <v>May-2023</v>
      </c>
      <c r="U1110" t="str">
        <f>TEXT(SalesData[[#This Row],[Date]],"YYYY")&amp;"  Q"&amp;INT(MONTH(SalesData[[#This Row],[Date]]/2)+3)</f>
        <v>2023  Q12</v>
      </c>
    </row>
    <row r="1111" spans="1:21"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c r="T1111" t="str">
        <f>TEXT(SalesData[[#This Row],[Date]],"MMM-YYY")</f>
        <v>Feb-2025</v>
      </c>
      <c r="U1111" t="str">
        <f>TEXT(SalesData[[#This Row],[Date]],"YYYY")&amp;"  Q"&amp;INT(MONTH(SalesData[[#This Row],[Date]]/2)+3)</f>
        <v>2025  Q10</v>
      </c>
    </row>
    <row r="1112" spans="1:21"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c r="T1112" t="str">
        <f>TEXT(SalesData[[#This Row],[Date]],"MMM-YYY")</f>
        <v>Aug-2023</v>
      </c>
      <c r="U1112" t="str">
        <f>TEXT(SalesData[[#This Row],[Date]],"YYYY")&amp;"  Q"&amp;INT(MONTH(SalesData[[#This Row],[Date]]/2)+3)</f>
        <v>2023  Q13</v>
      </c>
    </row>
    <row r="1113" spans="1:21"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c r="T1113" t="str">
        <f>TEXT(SalesData[[#This Row],[Date]],"MMM-YYY")</f>
        <v>Mar-2024</v>
      </c>
      <c r="U1113" t="str">
        <f>TEXT(SalesData[[#This Row],[Date]],"YYYY")&amp;"  Q"&amp;INT(MONTH(SalesData[[#This Row],[Date]]/2)+3)</f>
        <v>2024  Q5</v>
      </c>
    </row>
    <row r="1114" spans="1:21"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c r="T1114" t="str">
        <f>TEXT(SalesData[[#This Row],[Date]],"MMM-YYY")</f>
        <v>Jan-2024</v>
      </c>
      <c r="U1114" t="str">
        <f>TEXT(SalesData[[#This Row],[Date]],"YYYY")&amp;"  Q"&amp;INT(MONTH(SalesData[[#This Row],[Date]]/2)+3)</f>
        <v>2024  Q4</v>
      </c>
    </row>
    <row r="1115" spans="1:21"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c r="T1115" t="str">
        <f>TEXT(SalesData[[#This Row],[Date]],"MMM-YYY")</f>
        <v>Aug-2024</v>
      </c>
      <c r="U1115" t="str">
        <f>TEXT(SalesData[[#This Row],[Date]],"YYYY")&amp;"  Q"&amp;INT(MONTH(SalesData[[#This Row],[Date]]/2)+3)</f>
        <v>2024  Q7</v>
      </c>
    </row>
    <row r="1116" spans="1:21"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c r="T1116" t="str">
        <f>TEXT(SalesData[[#This Row],[Date]],"MMM-YYY")</f>
        <v>Jul-2024</v>
      </c>
      <c r="U1116" t="str">
        <f>TEXT(SalesData[[#This Row],[Date]],"YYYY")&amp;"  Q"&amp;INT(MONTH(SalesData[[#This Row],[Date]]/2)+3)</f>
        <v>2024  Q7</v>
      </c>
    </row>
    <row r="1117" spans="1:21"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c r="T1117" t="str">
        <f>TEXT(SalesData[[#This Row],[Date]],"MMM-YYY")</f>
        <v>Aug-2024</v>
      </c>
      <c r="U1117" t="str">
        <f>TEXT(SalesData[[#This Row],[Date]],"YYYY")&amp;"  Q"&amp;INT(MONTH(SalesData[[#This Row],[Date]]/2)+3)</f>
        <v>2024  Q7</v>
      </c>
    </row>
    <row r="1118" spans="1:21"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c r="T1118" t="str">
        <f>TEXT(SalesData[[#This Row],[Date]],"MMM-YYY")</f>
        <v>Jun-2023</v>
      </c>
      <c r="U1118" t="str">
        <f>TEXT(SalesData[[#This Row],[Date]],"YYYY")&amp;"  Q"&amp;INT(MONTH(SalesData[[#This Row],[Date]]/2)+3)</f>
        <v>2023  Q12</v>
      </c>
    </row>
    <row r="1119" spans="1:21"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c r="T1119" t="str">
        <f>TEXT(SalesData[[#This Row],[Date]],"MMM-YYY")</f>
        <v>Dec-2023</v>
      </c>
      <c r="U1119" t="str">
        <f>TEXT(SalesData[[#This Row],[Date]],"YYYY")&amp;"  Q"&amp;INT(MONTH(SalesData[[#This Row],[Date]]/2)+3)</f>
        <v>2023  Q15</v>
      </c>
    </row>
    <row r="1120" spans="1:21"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c r="T1120" t="str">
        <f>TEXT(SalesData[[#This Row],[Date]],"MMM-YYY")</f>
        <v>Aug-2023</v>
      </c>
      <c r="U1120" t="str">
        <f>TEXT(SalesData[[#This Row],[Date]],"YYYY")&amp;"  Q"&amp;INT(MONTH(SalesData[[#This Row],[Date]]/2)+3)</f>
        <v>2023  Q13</v>
      </c>
    </row>
    <row r="1121" spans="1:21"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c r="T1121" t="str">
        <f>TEXT(SalesData[[#This Row],[Date]],"MMM-YYY")</f>
        <v>Oct-2024</v>
      </c>
      <c r="U1121" t="str">
        <f>TEXT(SalesData[[#This Row],[Date]],"YYYY")&amp;"  Q"&amp;INT(MONTH(SalesData[[#This Row],[Date]]/2)+3)</f>
        <v>2024  Q8</v>
      </c>
    </row>
    <row r="1122" spans="1:21"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c r="T1122" t="str">
        <f>TEXT(SalesData[[#This Row],[Date]],"MMM-YYY")</f>
        <v>Nov-2024</v>
      </c>
      <c r="U1122" t="str">
        <f>TEXT(SalesData[[#This Row],[Date]],"YYYY")&amp;"  Q"&amp;INT(MONTH(SalesData[[#This Row],[Date]]/2)+3)</f>
        <v>2024  Q9</v>
      </c>
    </row>
    <row r="1123" spans="1:21"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c r="T1123" t="str">
        <f>TEXT(SalesData[[#This Row],[Date]],"MMM-YYY")</f>
        <v>Dec-2023</v>
      </c>
      <c r="U1123" t="str">
        <f>TEXT(SalesData[[#This Row],[Date]],"YYYY")&amp;"  Q"&amp;INT(MONTH(SalesData[[#This Row],[Date]]/2)+3)</f>
        <v>2023  Q15</v>
      </c>
    </row>
    <row r="1124" spans="1:21"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c r="T1124" t="str">
        <f>TEXT(SalesData[[#This Row],[Date]],"MMM-YYY")</f>
        <v>Mar-2024</v>
      </c>
      <c r="U1124" t="str">
        <f>TEXT(SalesData[[#This Row],[Date]],"YYYY")&amp;"  Q"&amp;INT(MONTH(SalesData[[#This Row],[Date]]/2)+3)</f>
        <v>2024  Q5</v>
      </c>
    </row>
    <row r="1125" spans="1:21"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c r="T1125" t="str">
        <f>TEXT(SalesData[[#This Row],[Date]],"MMM-YYY")</f>
        <v>Oct-2024</v>
      </c>
      <c r="U1125" t="str">
        <f>TEXT(SalesData[[#This Row],[Date]],"YYYY")&amp;"  Q"&amp;INT(MONTH(SalesData[[#This Row],[Date]]/2)+3)</f>
        <v>2024  Q8</v>
      </c>
    </row>
    <row r="1126" spans="1:21"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c r="T1126" t="str">
        <f>TEXT(SalesData[[#This Row],[Date]],"MMM-YYY")</f>
        <v>Jun-2025</v>
      </c>
      <c r="U1126" t="str">
        <f>TEXT(SalesData[[#This Row],[Date]],"YYYY")&amp;"  Q"&amp;INT(MONTH(SalesData[[#This Row],[Date]]/2)+3)</f>
        <v>2025  Q12</v>
      </c>
    </row>
    <row r="1127" spans="1:21"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c r="T1127" t="str">
        <f>TEXT(SalesData[[#This Row],[Date]],"MMM-YYY")</f>
        <v>Mar-2023</v>
      </c>
      <c r="U1127" t="str">
        <f>TEXT(SalesData[[#This Row],[Date]],"YYYY")&amp;"  Q"&amp;INT(MONTH(SalesData[[#This Row],[Date]]/2)+3)</f>
        <v>2023  Q11</v>
      </c>
    </row>
    <row r="1128" spans="1:21"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c r="T1128" t="str">
        <f>TEXT(SalesData[[#This Row],[Date]],"MMM-YYY")</f>
        <v>Jan-2023</v>
      </c>
      <c r="U1128" t="str">
        <f>TEXT(SalesData[[#This Row],[Date]],"YYYY")&amp;"  Q"&amp;INT(MONTH(SalesData[[#This Row],[Date]]/2)+3)</f>
        <v>2023  Q10</v>
      </c>
    </row>
    <row r="1129" spans="1:21"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c r="T1129" t="str">
        <f>TEXT(SalesData[[#This Row],[Date]],"MMM-YYY")</f>
        <v>Jul-2023</v>
      </c>
      <c r="U1129" t="str">
        <f>TEXT(SalesData[[#This Row],[Date]],"YYYY")&amp;"  Q"&amp;INT(MONTH(SalesData[[#This Row],[Date]]/2)+3)</f>
        <v>2023  Q13</v>
      </c>
    </row>
    <row r="1130" spans="1:21"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c r="T1130" t="str">
        <f>TEXT(SalesData[[#This Row],[Date]],"MMM-YYY")</f>
        <v>Mar-2025</v>
      </c>
      <c r="U1130" t="str">
        <f>TEXT(SalesData[[#This Row],[Date]],"YYYY")&amp;"  Q"&amp;INT(MONTH(SalesData[[#This Row],[Date]]/2)+3)</f>
        <v>2025  Q11</v>
      </c>
    </row>
    <row r="1131" spans="1:21"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c r="T1131" t="str">
        <f>TEXT(SalesData[[#This Row],[Date]],"MMM-YYY")</f>
        <v>Feb-2025</v>
      </c>
      <c r="U1131" t="str">
        <f>TEXT(SalesData[[#This Row],[Date]],"YYYY")&amp;"  Q"&amp;INT(MONTH(SalesData[[#This Row],[Date]]/2)+3)</f>
        <v>2025  Q10</v>
      </c>
    </row>
    <row r="1132" spans="1:21"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c r="T1132" t="str">
        <f>TEXT(SalesData[[#This Row],[Date]],"MMM-YYY")</f>
        <v>Apr-2024</v>
      </c>
      <c r="U1132" t="str">
        <f>TEXT(SalesData[[#This Row],[Date]],"YYYY")&amp;"  Q"&amp;INT(MONTH(SalesData[[#This Row],[Date]]/2)+3)</f>
        <v>2024  Q5</v>
      </c>
    </row>
    <row r="1133" spans="1:21"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c r="T1133" t="str">
        <f>TEXT(SalesData[[#This Row],[Date]],"MMM-YYY")</f>
        <v>Jun-2025</v>
      </c>
      <c r="U1133" t="str">
        <f>TEXT(SalesData[[#This Row],[Date]],"YYYY")&amp;"  Q"&amp;INT(MONTH(SalesData[[#This Row],[Date]]/2)+3)</f>
        <v>2025  Q12</v>
      </c>
    </row>
    <row r="1134" spans="1:21"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c r="T1134" t="str">
        <f>TEXT(SalesData[[#This Row],[Date]],"MMM-YYY")</f>
        <v>Apr-2025</v>
      </c>
      <c r="U1134" t="str">
        <f>TEXT(SalesData[[#This Row],[Date]],"YYYY")&amp;"  Q"&amp;INT(MONTH(SalesData[[#This Row],[Date]]/2)+3)</f>
        <v>2025  Q11</v>
      </c>
    </row>
    <row r="1135" spans="1:21"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c r="T1135" t="str">
        <f>TEXT(SalesData[[#This Row],[Date]],"MMM-YYY")</f>
        <v>Sep-2023</v>
      </c>
      <c r="U1135" t="str">
        <f>TEXT(SalesData[[#This Row],[Date]],"YYYY")&amp;"  Q"&amp;INT(MONTH(SalesData[[#This Row],[Date]]/2)+3)</f>
        <v>2023  Q14</v>
      </c>
    </row>
    <row r="1136" spans="1:21"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c r="T1136" t="str">
        <f>TEXT(SalesData[[#This Row],[Date]],"MMM-YYY")</f>
        <v>Sep-2023</v>
      </c>
      <c r="U1136" t="str">
        <f>TEXT(SalesData[[#This Row],[Date]],"YYYY")&amp;"  Q"&amp;INT(MONTH(SalesData[[#This Row],[Date]]/2)+3)</f>
        <v>2023  Q14</v>
      </c>
    </row>
    <row r="1137" spans="1:21"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c r="T1137" t="str">
        <f>TEXT(SalesData[[#This Row],[Date]],"MMM-YYY")</f>
        <v>May-2024</v>
      </c>
      <c r="U1137" t="str">
        <f>TEXT(SalesData[[#This Row],[Date]],"YYYY")&amp;"  Q"&amp;INT(MONTH(SalesData[[#This Row],[Date]]/2)+3)</f>
        <v>2024  Q6</v>
      </c>
    </row>
    <row r="1138" spans="1:21"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c r="T1138" t="str">
        <f>TEXT(SalesData[[#This Row],[Date]],"MMM-YYY")</f>
        <v>Apr-2025</v>
      </c>
      <c r="U1138" t="str">
        <f>TEXT(SalesData[[#This Row],[Date]],"YYYY")&amp;"  Q"&amp;INT(MONTH(SalesData[[#This Row],[Date]]/2)+3)</f>
        <v>2025  Q11</v>
      </c>
    </row>
    <row r="1139" spans="1:21"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c r="T1139" t="str">
        <f>TEXT(SalesData[[#This Row],[Date]],"MMM-YYY")</f>
        <v>Nov-2024</v>
      </c>
      <c r="U1139" t="str">
        <f>TEXT(SalesData[[#This Row],[Date]],"YYYY")&amp;"  Q"&amp;INT(MONTH(SalesData[[#This Row],[Date]]/2)+3)</f>
        <v>2024  Q9</v>
      </c>
    </row>
    <row r="1140" spans="1:21"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c r="T1140" t="str">
        <f>TEXT(SalesData[[#This Row],[Date]],"MMM-YYY")</f>
        <v>Jul-2024</v>
      </c>
      <c r="U1140" t="str">
        <f>TEXT(SalesData[[#This Row],[Date]],"YYYY")&amp;"  Q"&amp;INT(MONTH(SalesData[[#This Row],[Date]]/2)+3)</f>
        <v>2024  Q7</v>
      </c>
    </row>
    <row r="1141" spans="1:21"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c r="T1141" t="str">
        <f>TEXT(SalesData[[#This Row],[Date]],"MMM-YYY")</f>
        <v>May-2023</v>
      </c>
      <c r="U1141" t="str">
        <f>TEXT(SalesData[[#This Row],[Date]],"YYYY")&amp;"  Q"&amp;INT(MONTH(SalesData[[#This Row],[Date]]/2)+3)</f>
        <v>2023  Q12</v>
      </c>
    </row>
    <row r="1142" spans="1:21"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c r="T1142" t="str">
        <f>TEXT(SalesData[[#This Row],[Date]],"MMM-YYY")</f>
        <v>Oct-2023</v>
      </c>
      <c r="U1142" t="str">
        <f>TEXT(SalesData[[#This Row],[Date]],"YYYY")&amp;"  Q"&amp;INT(MONTH(SalesData[[#This Row],[Date]]/2)+3)</f>
        <v>2023  Q14</v>
      </c>
    </row>
    <row r="1143" spans="1:21"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c r="T1143" t="str">
        <f>TEXT(SalesData[[#This Row],[Date]],"MMM-YYY")</f>
        <v>May-2025</v>
      </c>
      <c r="U1143" t="str">
        <f>TEXT(SalesData[[#This Row],[Date]],"YYYY")&amp;"  Q"&amp;INT(MONTH(SalesData[[#This Row],[Date]]/2)+3)</f>
        <v>2025  Q12</v>
      </c>
    </row>
    <row r="1144" spans="1:21"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c r="T1144" t="str">
        <f>TEXT(SalesData[[#This Row],[Date]],"MMM-YYY")</f>
        <v>Mar-2024</v>
      </c>
      <c r="U1144" t="str">
        <f>TEXT(SalesData[[#This Row],[Date]],"YYYY")&amp;"  Q"&amp;INT(MONTH(SalesData[[#This Row],[Date]]/2)+3)</f>
        <v>2024  Q4</v>
      </c>
    </row>
    <row r="1145" spans="1:21"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c r="T1145" t="str">
        <f>TEXT(SalesData[[#This Row],[Date]],"MMM-YYY")</f>
        <v>Jul-2023</v>
      </c>
      <c r="U1145" t="str">
        <f>TEXT(SalesData[[#This Row],[Date]],"YYYY")&amp;"  Q"&amp;INT(MONTH(SalesData[[#This Row],[Date]]/2)+3)</f>
        <v>2023  Q13</v>
      </c>
    </row>
    <row r="1146" spans="1:21"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c r="T1146" t="str">
        <f>TEXT(SalesData[[#This Row],[Date]],"MMM-YYY")</f>
        <v>Feb-2025</v>
      </c>
      <c r="U1146" t="str">
        <f>TEXT(SalesData[[#This Row],[Date]],"YYYY")&amp;"  Q"&amp;INT(MONTH(SalesData[[#This Row],[Date]]/2)+3)</f>
        <v>2025  Q10</v>
      </c>
    </row>
    <row r="1147" spans="1:21"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c r="T1147" t="str">
        <f>TEXT(SalesData[[#This Row],[Date]],"MMM-YYY")</f>
        <v>Jan-2023</v>
      </c>
      <c r="U1147" t="str">
        <f>TEXT(SalesData[[#This Row],[Date]],"YYYY")&amp;"  Q"&amp;INT(MONTH(SalesData[[#This Row],[Date]]/2)+3)</f>
        <v>2023  Q10</v>
      </c>
    </row>
    <row r="1148" spans="1:21"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c r="T1148" t="str">
        <f>TEXT(SalesData[[#This Row],[Date]],"MMM-YYY")</f>
        <v>Sep-2023</v>
      </c>
      <c r="U1148" t="str">
        <f>TEXT(SalesData[[#This Row],[Date]],"YYYY")&amp;"  Q"&amp;INT(MONTH(SalesData[[#This Row],[Date]]/2)+3)</f>
        <v>2023  Q14</v>
      </c>
    </row>
    <row r="1149" spans="1:21"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c r="T1149" t="str">
        <f>TEXT(SalesData[[#This Row],[Date]],"MMM-YYY")</f>
        <v>Feb-2025</v>
      </c>
      <c r="U1149" t="str">
        <f>TEXT(SalesData[[#This Row],[Date]],"YYYY")&amp;"  Q"&amp;INT(MONTH(SalesData[[#This Row],[Date]]/2)+3)</f>
        <v>2025  Q10</v>
      </c>
    </row>
    <row r="1150" spans="1:21"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c r="T1150" t="str">
        <f>TEXT(SalesData[[#This Row],[Date]],"MMM-YYY")</f>
        <v>Oct-2023</v>
      </c>
      <c r="U1150" t="str">
        <f>TEXT(SalesData[[#This Row],[Date]],"YYYY")&amp;"  Q"&amp;INT(MONTH(SalesData[[#This Row],[Date]]/2)+3)</f>
        <v>2023  Q14</v>
      </c>
    </row>
    <row r="1151" spans="1:21"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c r="T1151" t="str">
        <f>TEXT(SalesData[[#This Row],[Date]],"MMM-YYY")</f>
        <v>Aug-2023</v>
      </c>
      <c r="U1151" t="str">
        <f>TEXT(SalesData[[#This Row],[Date]],"YYYY")&amp;"  Q"&amp;INT(MONTH(SalesData[[#This Row],[Date]]/2)+3)</f>
        <v>2023  Q13</v>
      </c>
    </row>
    <row r="1152" spans="1:21"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c r="T1152" t="str">
        <f>TEXT(SalesData[[#This Row],[Date]],"MMM-YYY")</f>
        <v>Aug-2023</v>
      </c>
      <c r="U1152" t="str">
        <f>TEXT(SalesData[[#This Row],[Date]],"YYYY")&amp;"  Q"&amp;INT(MONTH(SalesData[[#This Row],[Date]]/2)+3)</f>
        <v>2023  Q13</v>
      </c>
    </row>
    <row r="1153" spans="1:21"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c r="T1153" t="str">
        <f>TEXT(SalesData[[#This Row],[Date]],"MMM-YYY")</f>
        <v>Jul-2024</v>
      </c>
      <c r="U1153" t="str">
        <f>TEXT(SalesData[[#This Row],[Date]],"YYYY")&amp;"  Q"&amp;INT(MONTH(SalesData[[#This Row],[Date]]/2)+3)</f>
        <v>2024  Q7</v>
      </c>
    </row>
    <row r="1154" spans="1:21"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c r="T1154" t="str">
        <f>TEXT(SalesData[[#This Row],[Date]],"MMM-YYY")</f>
        <v>Jan-2025</v>
      </c>
      <c r="U1154" t="str">
        <f>TEXT(SalesData[[#This Row],[Date]],"YYYY")&amp;"  Q"&amp;INT(MONTH(SalesData[[#This Row],[Date]]/2)+3)</f>
        <v>2025  Q10</v>
      </c>
    </row>
    <row r="1155" spans="1:21"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c r="T1155" t="str">
        <f>TEXT(SalesData[[#This Row],[Date]],"MMM-YYY")</f>
        <v>Dec-2023</v>
      </c>
      <c r="U1155" t="str">
        <f>TEXT(SalesData[[#This Row],[Date]],"YYYY")&amp;"  Q"&amp;INT(MONTH(SalesData[[#This Row],[Date]]/2)+3)</f>
        <v>2023  Q15</v>
      </c>
    </row>
    <row r="1156" spans="1:21"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c r="T1156" t="str">
        <f>TEXT(SalesData[[#This Row],[Date]],"MMM-YYY")</f>
        <v>Mar-2023</v>
      </c>
      <c r="U1156" t="str">
        <f>TEXT(SalesData[[#This Row],[Date]],"YYYY")&amp;"  Q"&amp;INT(MONTH(SalesData[[#This Row],[Date]]/2)+3)</f>
        <v>2023  Q10</v>
      </c>
    </row>
    <row r="1157" spans="1:21"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c r="T1157" t="str">
        <f>TEXT(SalesData[[#This Row],[Date]],"MMM-YYY")</f>
        <v>Feb-2025</v>
      </c>
      <c r="U1157" t="str">
        <f>TEXT(SalesData[[#This Row],[Date]],"YYYY")&amp;"  Q"&amp;INT(MONTH(SalesData[[#This Row],[Date]]/2)+3)</f>
        <v>2025  Q10</v>
      </c>
    </row>
    <row r="1158" spans="1:21"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c r="T1158" t="str">
        <f>TEXT(SalesData[[#This Row],[Date]],"MMM-YYY")</f>
        <v>Jun-2023</v>
      </c>
      <c r="U1158" t="str">
        <f>TEXT(SalesData[[#This Row],[Date]],"YYYY")&amp;"  Q"&amp;INT(MONTH(SalesData[[#This Row],[Date]]/2)+3)</f>
        <v>2023  Q12</v>
      </c>
    </row>
    <row r="1159" spans="1:21"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c r="T1159" t="str">
        <f>TEXT(SalesData[[#This Row],[Date]],"MMM-YYY")</f>
        <v>Feb-2024</v>
      </c>
      <c r="U1159" t="str">
        <f>TEXT(SalesData[[#This Row],[Date]],"YYYY")&amp;"  Q"&amp;INT(MONTH(SalesData[[#This Row],[Date]]/2)+3)</f>
        <v>2024  Q4</v>
      </c>
    </row>
    <row r="1160" spans="1:21"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c r="T1160" t="str">
        <f>TEXT(SalesData[[#This Row],[Date]],"MMM-YYY")</f>
        <v>Jun-2025</v>
      </c>
      <c r="U1160" t="str">
        <f>TEXT(SalesData[[#This Row],[Date]],"YYYY")&amp;"  Q"&amp;INT(MONTH(SalesData[[#This Row],[Date]]/2)+3)</f>
        <v>2025  Q12</v>
      </c>
    </row>
    <row r="1161" spans="1:21"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c r="T1161" t="str">
        <f>TEXT(SalesData[[#This Row],[Date]],"MMM-YYY")</f>
        <v>Aug-2024</v>
      </c>
      <c r="U1161" t="str">
        <f>TEXT(SalesData[[#This Row],[Date]],"YYYY")&amp;"  Q"&amp;INT(MONTH(SalesData[[#This Row],[Date]]/2)+3)</f>
        <v>2024  Q7</v>
      </c>
    </row>
    <row r="1162" spans="1:21"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c r="T1162" t="str">
        <f>TEXT(SalesData[[#This Row],[Date]],"MMM-YYY")</f>
        <v>Jan-2024</v>
      </c>
      <c r="U1162" t="str">
        <f>TEXT(SalesData[[#This Row],[Date]],"YYYY")&amp;"  Q"&amp;INT(MONTH(SalesData[[#This Row],[Date]]/2)+3)</f>
        <v>2024  Q4</v>
      </c>
    </row>
    <row r="1163" spans="1:21"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c r="T1163" t="str">
        <f>TEXT(SalesData[[#This Row],[Date]],"MMM-YYY")</f>
        <v>Aug-2024</v>
      </c>
      <c r="U1163" t="str">
        <f>TEXT(SalesData[[#This Row],[Date]],"YYYY")&amp;"  Q"&amp;INT(MONTH(SalesData[[#This Row],[Date]]/2)+3)</f>
        <v>2024  Q7</v>
      </c>
    </row>
    <row r="1164" spans="1:21"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c r="T1164" t="str">
        <f>TEXT(SalesData[[#This Row],[Date]],"MMM-YYY")</f>
        <v>Oct-2024</v>
      </c>
      <c r="U1164" t="str">
        <f>TEXT(SalesData[[#This Row],[Date]],"YYYY")&amp;"  Q"&amp;INT(MONTH(SalesData[[#This Row],[Date]]/2)+3)</f>
        <v>2024  Q8</v>
      </c>
    </row>
    <row r="1165" spans="1:21"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c r="T1165" t="str">
        <f>TEXT(SalesData[[#This Row],[Date]],"MMM-YYY")</f>
        <v>Jan-2024</v>
      </c>
      <c r="U1165" t="str">
        <f>TEXT(SalesData[[#This Row],[Date]],"YYYY")&amp;"  Q"&amp;INT(MONTH(SalesData[[#This Row],[Date]]/2)+3)</f>
        <v>2024  Q4</v>
      </c>
    </row>
    <row r="1166" spans="1:21"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c r="T1166" t="str">
        <f>TEXT(SalesData[[#This Row],[Date]],"MMM-YYY")</f>
        <v>Mar-2023</v>
      </c>
      <c r="U1166" t="str">
        <f>TEXT(SalesData[[#This Row],[Date]],"YYYY")&amp;"  Q"&amp;INT(MONTH(SalesData[[#This Row],[Date]]/2)+3)</f>
        <v>2023  Q11</v>
      </c>
    </row>
    <row r="1167" spans="1:21"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c r="T1167" t="str">
        <f>TEXT(SalesData[[#This Row],[Date]],"MMM-YYY")</f>
        <v>Oct-2023</v>
      </c>
      <c r="U1167" t="str">
        <f>TEXT(SalesData[[#This Row],[Date]],"YYYY")&amp;"  Q"&amp;INT(MONTH(SalesData[[#This Row],[Date]]/2)+3)</f>
        <v>2023  Q14</v>
      </c>
    </row>
    <row r="1168" spans="1:21"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c r="T1168" t="str">
        <f>TEXT(SalesData[[#This Row],[Date]],"MMM-YYY")</f>
        <v>Oct-2023</v>
      </c>
      <c r="U1168" t="str">
        <f>TEXT(SalesData[[#This Row],[Date]],"YYYY")&amp;"  Q"&amp;INT(MONTH(SalesData[[#This Row],[Date]]/2)+3)</f>
        <v>2023  Q14</v>
      </c>
    </row>
    <row r="1169" spans="1:21"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c r="T1169" t="str">
        <f>TEXT(SalesData[[#This Row],[Date]],"MMM-YYY")</f>
        <v>Mar-2023</v>
      </c>
      <c r="U1169" t="str">
        <f>TEXT(SalesData[[#This Row],[Date]],"YYYY")&amp;"  Q"&amp;INT(MONTH(SalesData[[#This Row],[Date]]/2)+3)</f>
        <v>2023  Q11</v>
      </c>
    </row>
    <row r="1170" spans="1:21"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c r="T1170" t="str">
        <f>TEXT(SalesData[[#This Row],[Date]],"MMM-YYY")</f>
        <v>Aug-2024</v>
      </c>
      <c r="U1170" t="str">
        <f>TEXT(SalesData[[#This Row],[Date]],"YYYY")&amp;"  Q"&amp;INT(MONTH(SalesData[[#This Row],[Date]]/2)+3)</f>
        <v>2024  Q7</v>
      </c>
    </row>
    <row r="1171" spans="1:21"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c r="T1171" t="str">
        <f>TEXT(SalesData[[#This Row],[Date]],"MMM-YYY")</f>
        <v>Apr-2023</v>
      </c>
      <c r="U1171" t="str">
        <f>TEXT(SalesData[[#This Row],[Date]],"YYYY")&amp;"  Q"&amp;INT(MONTH(SalesData[[#This Row],[Date]]/2)+3)</f>
        <v>2023  Q11</v>
      </c>
    </row>
    <row r="1172" spans="1:21"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c r="T1172" t="str">
        <f>TEXT(SalesData[[#This Row],[Date]],"MMM-YYY")</f>
        <v>Mar-2024</v>
      </c>
      <c r="U1172" t="str">
        <f>TEXT(SalesData[[#This Row],[Date]],"YYYY")&amp;"  Q"&amp;INT(MONTH(SalesData[[#This Row],[Date]]/2)+3)</f>
        <v>2024  Q4</v>
      </c>
    </row>
    <row r="1173" spans="1:21"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c r="T1173" t="str">
        <f>TEXT(SalesData[[#This Row],[Date]],"MMM-YYY")</f>
        <v>Feb-2023</v>
      </c>
      <c r="U1173" t="str">
        <f>TEXT(SalesData[[#This Row],[Date]],"YYYY")&amp;"  Q"&amp;INT(MONTH(SalesData[[#This Row],[Date]]/2)+3)</f>
        <v>2023  Q10</v>
      </c>
    </row>
    <row r="1174" spans="1:21"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c r="T1174" t="str">
        <f>TEXT(SalesData[[#This Row],[Date]],"MMM-YYY")</f>
        <v>Apr-2023</v>
      </c>
      <c r="U1174" t="str">
        <f>TEXT(SalesData[[#This Row],[Date]],"YYYY")&amp;"  Q"&amp;INT(MONTH(SalesData[[#This Row],[Date]]/2)+3)</f>
        <v>2023  Q11</v>
      </c>
    </row>
    <row r="1175" spans="1:21"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c r="T1175" t="str">
        <f>TEXT(SalesData[[#This Row],[Date]],"MMM-YYY")</f>
        <v>Mar-2024</v>
      </c>
      <c r="U1175" t="str">
        <f>TEXT(SalesData[[#This Row],[Date]],"YYYY")&amp;"  Q"&amp;INT(MONTH(SalesData[[#This Row],[Date]]/2)+3)</f>
        <v>2024  Q4</v>
      </c>
    </row>
    <row r="1176" spans="1:21"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c r="T1176" t="str">
        <f>TEXT(SalesData[[#This Row],[Date]],"MMM-YYY")</f>
        <v>Sep-2024</v>
      </c>
      <c r="U1176" t="str">
        <f>TEXT(SalesData[[#This Row],[Date]],"YYYY")&amp;"  Q"&amp;INT(MONTH(SalesData[[#This Row],[Date]]/2)+3)</f>
        <v>2024  Q8</v>
      </c>
    </row>
    <row r="1177" spans="1:21"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c r="T1177" t="str">
        <f>TEXT(SalesData[[#This Row],[Date]],"MMM-YYY")</f>
        <v>Dec-2024</v>
      </c>
      <c r="U1177" t="str">
        <f>TEXT(SalesData[[#This Row],[Date]],"YYYY")&amp;"  Q"&amp;INT(MONTH(SalesData[[#This Row],[Date]]/2)+3)</f>
        <v>2024  Q10</v>
      </c>
    </row>
    <row r="1178" spans="1:21"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c r="T1178" t="str">
        <f>TEXT(SalesData[[#This Row],[Date]],"MMM-YYY")</f>
        <v>Feb-2024</v>
      </c>
      <c r="U1178" t="str">
        <f>TEXT(SalesData[[#This Row],[Date]],"YYYY")&amp;"  Q"&amp;INT(MONTH(SalesData[[#This Row],[Date]]/2)+3)</f>
        <v>2024  Q4</v>
      </c>
    </row>
    <row r="1179" spans="1:21"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c r="T1179" t="str">
        <f>TEXT(SalesData[[#This Row],[Date]],"MMM-YYY")</f>
        <v>Sep-2023</v>
      </c>
      <c r="U1179" t="str">
        <f>TEXT(SalesData[[#This Row],[Date]],"YYYY")&amp;"  Q"&amp;INT(MONTH(SalesData[[#This Row],[Date]]/2)+3)</f>
        <v>2023  Q14</v>
      </c>
    </row>
    <row r="1180" spans="1:21"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c r="T1180" t="str">
        <f>TEXT(SalesData[[#This Row],[Date]],"MMM-YYY")</f>
        <v>Aug-2023</v>
      </c>
      <c r="U1180" t="str">
        <f>TEXT(SalesData[[#This Row],[Date]],"YYYY")&amp;"  Q"&amp;INT(MONTH(SalesData[[#This Row],[Date]]/2)+3)</f>
        <v>2023  Q13</v>
      </c>
    </row>
    <row r="1181" spans="1:21"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c r="T1181" t="str">
        <f>TEXT(SalesData[[#This Row],[Date]],"MMM-YYY")</f>
        <v>Mar-2023</v>
      </c>
      <c r="U1181" t="str">
        <f>TEXT(SalesData[[#This Row],[Date]],"YYYY")&amp;"  Q"&amp;INT(MONTH(SalesData[[#This Row],[Date]]/2)+3)</f>
        <v>2023  Q11</v>
      </c>
    </row>
    <row r="1182" spans="1:21"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c r="T1182" t="str">
        <f>TEXT(SalesData[[#This Row],[Date]],"MMM-YYY")</f>
        <v>Mar-2023</v>
      </c>
      <c r="U1182" t="str">
        <f>TEXT(SalesData[[#This Row],[Date]],"YYYY")&amp;"  Q"&amp;INT(MONTH(SalesData[[#This Row],[Date]]/2)+3)</f>
        <v>2023  Q11</v>
      </c>
    </row>
    <row r="1183" spans="1:21"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c r="T1183" t="str">
        <f>TEXT(SalesData[[#This Row],[Date]],"MMM-YYY")</f>
        <v>Feb-2025</v>
      </c>
      <c r="U1183" t="str">
        <f>TEXT(SalesData[[#This Row],[Date]],"YYYY")&amp;"  Q"&amp;INT(MONTH(SalesData[[#This Row],[Date]]/2)+3)</f>
        <v>2025  Q10</v>
      </c>
    </row>
    <row r="1184" spans="1:21"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c r="T1184" t="str">
        <f>TEXT(SalesData[[#This Row],[Date]],"MMM-YYY")</f>
        <v>Jan-2024</v>
      </c>
      <c r="U1184" t="str">
        <f>TEXT(SalesData[[#This Row],[Date]],"YYYY")&amp;"  Q"&amp;INT(MONTH(SalesData[[#This Row],[Date]]/2)+3)</f>
        <v>2024  Q4</v>
      </c>
    </row>
    <row r="1185" spans="1:21"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c r="T1185" t="str">
        <f>TEXT(SalesData[[#This Row],[Date]],"MMM-YYY")</f>
        <v>Jan-2023</v>
      </c>
      <c r="U1185" t="str">
        <f>TEXT(SalesData[[#This Row],[Date]],"YYYY")&amp;"  Q"&amp;INT(MONTH(SalesData[[#This Row],[Date]]/2)+3)</f>
        <v>2023  Q10</v>
      </c>
    </row>
    <row r="1186" spans="1:21"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c r="T1186" t="str">
        <f>TEXT(SalesData[[#This Row],[Date]],"MMM-YYY")</f>
        <v>Jan-2024</v>
      </c>
      <c r="U1186" t="str">
        <f>TEXT(SalesData[[#This Row],[Date]],"YYYY")&amp;"  Q"&amp;INT(MONTH(SalesData[[#This Row],[Date]]/2)+3)</f>
        <v>2024  Q4</v>
      </c>
    </row>
    <row r="1187" spans="1:21"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c r="T1187" t="str">
        <f>TEXT(SalesData[[#This Row],[Date]],"MMM-YYY")</f>
        <v>Aug-2023</v>
      </c>
      <c r="U1187" t="str">
        <f>TEXT(SalesData[[#This Row],[Date]],"YYYY")&amp;"  Q"&amp;INT(MONTH(SalesData[[#This Row],[Date]]/2)+3)</f>
        <v>2023  Q13</v>
      </c>
    </row>
    <row r="1188" spans="1:21"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c r="T1188" t="str">
        <f>TEXT(SalesData[[#This Row],[Date]],"MMM-YYY")</f>
        <v>May-2025</v>
      </c>
      <c r="U1188" t="str">
        <f>TEXT(SalesData[[#This Row],[Date]],"YYYY")&amp;"  Q"&amp;INT(MONTH(SalesData[[#This Row],[Date]]/2)+3)</f>
        <v>2025  Q12</v>
      </c>
    </row>
    <row r="1189" spans="1:21"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c r="T1189" t="str">
        <f>TEXT(SalesData[[#This Row],[Date]],"MMM-YYY")</f>
        <v>Dec-2023</v>
      </c>
      <c r="U1189" t="str">
        <f>TEXT(SalesData[[#This Row],[Date]],"YYYY")&amp;"  Q"&amp;INT(MONTH(SalesData[[#This Row],[Date]]/2)+3)</f>
        <v>2023  Q15</v>
      </c>
    </row>
    <row r="1190" spans="1:21"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c r="T1190" t="str">
        <f>TEXT(SalesData[[#This Row],[Date]],"MMM-YYY")</f>
        <v>Oct-2024</v>
      </c>
      <c r="U1190" t="str">
        <f>TEXT(SalesData[[#This Row],[Date]],"YYYY")&amp;"  Q"&amp;INT(MONTH(SalesData[[#This Row],[Date]]/2)+3)</f>
        <v>2024  Q8</v>
      </c>
    </row>
    <row r="1191" spans="1:21"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c r="T1191" t="str">
        <f>TEXT(SalesData[[#This Row],[Date]],"MMM-YYY")</f>
        <v>Mar-2023</v>
      </c>
      <c r="U1191" t="str">
        <f>TEXT(SalesData[[#This Row],[Date]],"YYYY")&amp;"  Q"&amp;INT(MONTH(SalesData[[#This Row],[Date]]/2)+3)</f>
        <v>2023  Q11</v>
      </c>
    </row>
    <row r="1192" spans="1:21"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c r="T1192" t="str">
        <f>TEXT(SalesData[[#This Row],[Date]],"MMM-YYY")</f>
        <v>Apr-2024</v>
      </c>
      <c r="U1192" t="str">
        <f>TEXT(SalesData[[#This Row],[Date]],"YYYY")&amp;"  Q"&amp;INT(MONTH(SalesData[[#This Row],[Date]]/2)+3)</f>
        <v>2024  Q5</v>
      </c>
    </row>
    <row r="1193" spans="1:21"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c r="T1193" t="str">
        <f>TEXT(SalesData[[#This Row],[Date]],"MMM-YYY")</f>
        <v>Jan-2023</v>
      </c>
      <c r="U1193" t="str">
        <f>TEXT(SalesData[[#This Row],[Date]],"YYYY")&amp;"  Q"&amp;INT(MONTH(SalesData[[#This Row],[Date]]/2)+3)</f>
        <v>2023  Q10</v>
      </c>
    </row>
    <row r="1194" spans="1:21"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c r="T1194" t="str">
        <f>TEXT(SalesData[[#This Row],[Date]],"MMM-YYY")</f>
        <v>Jul-2024</v>
      </c>
      <c r="U1194" t="str">
        <f>TEXT(SalesData[[#This Row],[Date]],"YYYY")&amp;"  Q"&amp;INT(MONTH(SalesData[[#This Row],[Date]]/2)+3)</f>
        <v>2024  Q7</v>
      </c>
    </row>
    <row r="1195" spans="1:21"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c r="T1195" t="str">
        <f>TEXT(SalesData[[#This Row],[Date]],"MMM-YYY")</f>
        <v>Oct-2023</v>
      </c>
      <c r="U1195" t="str">
        <f>TEXT(SalesData[[#This Row],[Date]],"YYYY")&amp;"  Q"&amp;INT(MONTH(SalesData[[#This Row],[Date]]/2)+3)</f>
        <v>2023  Q14</v>
      </c>
    </row>
    <row r="1196" spans="1:21"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c r="T1196" t="str">
        <f>TEXT(SalesData[[#This Row],[Date]],"MMM-YYY")</f>
        <v>Sep-2023</v>
      </c>
      <c r="U1196" t="str">
        <f>TEXT(SalesData[[#This Row],[Date]],"YYYY")&amp;"  Q"&amp;INT(MONTH(SalesData[[#This Row],[Date]]/2)+3)</f>
        <v>2023  Q14</v>
      </c>
    </row>
    <row r="1197" spans="1:21"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c r="T1197" t="str">
        <f>TEXT(SalesData[[#This Row],[Date]],"MMM-YYY")</f>
        <v>Sep-2023</v>
      </c>
      <c r="U1197" t="str">
        <f>TEXT(SalesData[[#This Row],[Date]],"YYYY")&amp;"  Q"&amp;INT(MONTH(SalesData[[#This Row],[Date]]/2)+3)</f>
        <v>2023  Q14</v>
      </c>
    </row>
    <row r="1198" spans="1:21"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c r="T1198" t="str">
        <f>TEXT(SalesData[[#This Row],[Date]],"MMM-YYY")</f>
        <v>Nov-2023</v>
      </c>
      <c r="U1198" t="str">
        <f>TEXT(SalesData[[#This Row],[Date]],"YYYY")&amp;"  Q"&amp;INT(MONTH(SalesData[[#This Row],[Date]]/2)+3)</f>
        <v>2023  Q15</v>
      </c>
    </row>
    <row r="1199" spans="1:21"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c r="T1199" t="str">
        <f>TEXT(SalesData[[#This Row],[Date]],"MMM-YYY")</f>
        <v>Jun-2024</v>
      </c>
      <c r="U1199" t="str">
        <f>TEXT(SalesData[[#This Row],[Date]],"YYYY")&amp;"  Q"&amp;INT(MONTH(SalesData[[#This Row],[Date]]/2)+3)</f>
        <v>2024  Q6</v>
      </c>
    </row>
    <row r="1200" spans="1:21"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c r="T1200" t="str">
        <f>TEXT(SalesData[[#This Row],[Date]],"MMM-YYY")</f>
        <v>Mar-2023</v>
      </c>
      <c r="U1200" t="str">
        <f>TEXT(SalesData[[#This Row],[Date]],"YYYY")&amp;"  Q"&amp;INT(MONTH(SalesData[[#This Row],[Date]]/2)+3)</f>
        <v>2023  Q11</v>
      </c>
    </row>
    <row r="1201" spans="1:21"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c r="T1201" t="str">
        <f>TEXT(SalesData[[#This Row],[Date]],"MMM-YYY")</f>
        <v>Oct-2024</v>
      </c>
      <c r="U1201" t="str">
        <f>TEXT(SalesData[[#This Row],[Date]],"YYYY")&amp;"  Q"&amp;INT(MONTH(SalesData[[#This Row],[Date]]/2)+3)</f>
        <v>2024  Q8</v>
      </c>
    </row>
    <row r="1202" spans="1:21"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c r="T1202" t="str">
        <f>TEXT(SalesData[[#This Row],[Date]],"MMM-YYY")</f>
        <v>Mar-2023</v>
      </c>
      <c r="U1202" t="str">
        <f>TEXT(SalesData[[#This Row],[Date]],"YYYY")&amp;"  Q"&amp;INT(MONTH(SalesData[[#This Row],[Date]]/2)+3)</f>
        <v>2023  Q11</v>
      </c>
    </row>
    <row r="1203" spans="1:21"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c r="T1203" t="str">
        <f>TEXT(SalesData[[#This Row],[Date]],"MMM-YYY")</f>
        <v>Mar-2025</v>
      </c>
      <c r="U1203" t="str">
        <f>TEXT(SalesData[[#This Row],[Date]],"YYYY")&amp;"  Q"&amp;INT(MONTH(SalesData[[#This Row],[Date]]/2)+3)</f>
        <v>2025  Q11</v>
      </c>
    </row>
    <row r="1204" spans="1:21"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c r="T1204" t="str">
        <f>TEXT(SalesData[[#This Row],[Date]],"MMM-YYY")</f>
        <v>Dec-2024</v>
      </c>
      <c r="U1204" t="str">
        <f>TEXT(SalesData[[#This Row],[Date]],"YYYY")&amp;"  Q"&amp;INT(MONTH(SalesData[[#This Row],[Date]]/2)+3)</f>
        <v>2024  Q9</v>
      </c>
    </row>
    <row r="1205" spans="1:21"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c r="T1205" t="str">
        <f>TEXT(SalesData[[#This Row],[Date]],"MMM-YYY")</f>
        <v>Jan-2025</v>
      </c>
      <c r="U1205" t="str">
        <f>TEXT(SalesData[[#This Row],[Date]],"YYYY")&amp;"  Q"&amp;INT(MONTH(SalesData[[#This Row],[Date]]/2)+3)</f>
        <v>2025  Q10</v>
      </c>
    </row>
    <row r="1206" spans="1:21"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c r="T1206" t="str">
        <f>TEXT(SalesData[[#This Row],[Date]],"MMM-YYY")</f>
        <v>Jan-2025</v>
      </c>
      <c r="U1206" t="str">
        <f>TEXT(SalesData[[#This Row],[Date]],"YYYY")&amp;"  Q"&amp;INT(MONTH(SalesData[[#This Row],[Date]]/2)+3)</f>
        <v>2025  Q10</v>
      </c>
    </row>
    <row r="1207" spans="1:21"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c r="T1207" t="str">
        <f>TEXT(SalesData[[#This Row],[Date]],"MMM-YYY")</f>
        <v>Jan-2023</v>
      </c>
      <c r="U1207" t="str">
        <f>TEXT(SalesData[[#This Row],[Date]],"YYYY")&amp;"  Q"&amp;INT(MONTH(SalesData[[#This Row],[Date]]/2)+3)</f>
        <v>2023  Q10</v>
      </c>
    </row>
    <row r="1208" spans="1:21"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c r="T1208" t="str">
        <f>TEXT(SalesData[[#This Row],[Date]],"MMM-YYY")</f>
        <v>Aug-2024</v>
      </c>
      <c r="U1208" t="str">
        <f>TEXT(SalesData[[#This Row],[Date]],"YYYY")&amp;"  Q"&amp;INT(MONTH(SalesData[[#This Row],[Date]]/2)+3)</f>
        <v>2024  Q7</v>
      </c>
    </row>
    <row r="1209" spans="1:21"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c r="T1209" t="str">
        <f>TEXT(SalesData[[#This Row],[Date]],"MMM-YYY")</f>
        <v>Feb-2024</v>
      </c>
      <c r="U1209" t="str">
        <f>TEXT(SalesData[[#This Row],[Date]],"YYYY")&amp;"  Q"&amp;INT(MONTH(SalesData[[#This Row],[Date]]/2)+3)</f>
        <v>2024  Q4</v>
      </c>
    </row>
    <row r="1210" spans="1:21"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c r="T1210" t="str">
        <f>TEXT(SalesData[[#This Row],[Date]],"MMM-YYY")</f>
        <v>Feb-2023</v>
      </c>
      <c r="U1210" t="str">
        <f>TEXT(SalesData[[#This Row],[Date]],"YYYY")&amp;"  Q"&amp;INT(MONTH(SalesData[[#This Row],[Date]]/2)+3)</f>
        <v>2023  Q10</v>
      </c>
    </row>
    <row r="1211" spans="1:21"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c r="T1211" t="str">
        <f>TEXT(SalesData[[#This Row],[Date]],"MMM-YYY")</f>
        <v>Jun-2024</v>
      </c>
      <c r="U1211" t="str">
        <f>TEXT(SalesData[[#This Row],[Date]],"YYYY")&amp;"  Q"&amp;INT(MONTH(SalesData[[#This Row],[Date]]/2)+3)</f>
        <v>2024  Q6</v>
      </c>
    </row>
    <row r="1212" spans="1:21"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c r="T1212" t="str">
        <f>TEXT(SalesData[[#This Row],[Date]],"MMM-YYY")</f>
        <v>Jun-2024</v>
      </c>
      <c r="U1212" t="str">
        <f>TEXT(SalesData[[#This Row],[Date]],"YYYY")&amp;"  Q"&amp;INT(MONTH(SalesData[[#This Row],[Date]]/2)+3)</f>
        <v>2024  Q6</v>
      </c>
    </row>
    <row r="1213" spans="1:21"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c r="T1213" t="str">
        <f>TEXT(SalesData[[#This Row],[Date]],"MMM-YYY")</f>
        <v>Nov-2023</v>
      </c>
      <c r="U1213" t="str">
        <f>TEXT(SalesData[[#This Row],[Date]],"YYYY")&amp;"  Q"&amp;INT(MONTH(SalesData[[#This Row],[Date]]/2)+3)</f>
        <v>2023  Q15</v>
      </c>
    </row>
    <row r="1214" spans="1:21"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c r="T1214" t="str">
        <f>TEXT(SalesData[[#This Row],[Date]],"MMM-YYY")</f>
        <v>Apr-2024</v>
      </c>
      <c r="U1214" t="str">
        <f>TEXT(SalesData[[#This Row],[Date]],"YYYY")&amp;"  Q"&amp;INT(MONTH(SalesData[[#This Row],[Date]]/2)+3)</f>
        <v>2024  Q5</v>
      </c>
    </row>
    <row r="1215" spans="1:21"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c r="T1215" t="str">
        <f>TEXT(SalesData[[#This Row],[Date]],"MMM-YYY")</f>
        <v>Feb-2023</v>
      </c>
      <c r="U1215" t="str">
        <f>TEXT(SalesData[[#This Row],[Date]],"YYYY")&amp;"  Q"&amp;INT(MONTH(SalesData[[#This Row],[Date]]/2)+3)</f>
        <v>2023  Q10</v>
      </c>
    </row>
    <row r="1216" spans="1:21"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c r="T1216" t="str">
        <f>TEXT(SalesData[[#This Row],[Date]],"MMM-YYY")</f>
        <v>Nov-2024</v>
      </c>
      <c r="U1216" t="str">
        <f>TEXT(SalesData[[#This Row],[Date]],"YYYY")&amp;"  Q"&amp;INT(MONTH(SalesData[[#This Row],[Date]]/2)+3)</f>
        <v>2024  Q9</v>
      </c>
    </row>
    <row r="1217" spans="1:21"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c r="T1217" t="str">
        <f>TEXT(SalesData[[#This Row],[Date]],"MMM-YYY")</f>
        <v>Jun-2024</v>
      </c>
      <c r="U1217" t="str">
        <f>TEXT(SalesData[[#This Row],[Date]],"YYYY")&amp;"  Q"&amp;INT(MONTH(SalesData[[#This Row],[Date]]/2)+3)</f>
        <v>2024  Q6</v>
      </c>
    </row>
    <row r="1218" spans="1:21"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c r="T1218" t="str">
        <f>TEXT(SalesData[[#This Row],[Date]],"MMM-YYY")</f>
        <v>Aug-2023</v>
      </c>
      <c r="U1218" t="str">
        <f>TEXT(SalesData[[#This Row],[Date]],"YYYY")&amp;"  Q"&amp;INT(MONTH(SalesData[[#This Row],[Date]]/2)+3)</f>
        <v>2023  Q13</v>
      </c>
    </row>
    <row r="1219" spans="1:21"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c r="T1219" t="str">
        <f>TEXT(SalesData[[#This Row],[Date]],"MMM-YYY")</f>
        <v>Feb-2024</v>
      </c>
      <c r="U1219" t="str">
        <f>TEXT(SalesData[[#This Row],[Date]],"YYYY")&amp;"  Q"&amp;INT(MONTH(SalesData[[#This Row],[Date]]/2)+3)</f>
        <v>2024  Q4</v>
      </c>
    </row>
    <row r="1220" spans="1:21"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c r="T1220" t="str">
        <f>TEXT(SalesData[[#This Row],[Date]],"MMM-YYY")</f>
        <v>Nov-2024</v>
      </c>
      <c r="U1220" t="str">
        <f>TEXT(SalesData[[#This Row],[Date]],"YYYY")&amp;"  Q"&amp;INT(MONTH(SalesData[[#This Row],[Date]]/2)+3)</f>
        <v>2024  Q9</v>
      </c>
    </row>
    <row r="1221" spans="1:21"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c r="T1221" t="str">
        <f>TEXT(SalesData[[#This Row],[Date]],"MMM-YYY")</f>
        <v>Jul-2023</v>
      </c>
      <c r="U1221" t="str">
        <f>TEXT(SalesData[[#This Row],[Date]],"YYYY")&amp;"  Q"&amp;INT(MONTH(SalesData[[#This Row],[Date]]/2)+3)</f>
        <v>2023  Q13</v>
      </c>
    </row>
    <row r="1222" spans="1:21"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c r="T1222" t="str">
        <f>TEXT(SalesData[[#This Row],[Date]],"MMM-YYY")</f>
        <v>Apr-2023</v>
      </c>
      <c r="U1222" t="str">
        <f>TEXT(SalesData[[#This Row],[Date]],"YYYY")&amp;"  Q"&amp;INT(MONTH(SalesData[[#This Row],[Date]]/2)+3)</f>
        <v>2023  Q11</v>
      </c>
    </row>
    <row r="1223" spans="1:21"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c r="T1223" t="str">
        <f>TEXT(SalesData[[#This Row],[Date]],"MMM-YYY")</f>
        <v>Feb-2023</v>
      </c>
      <c r="U1223" t="str">
        <f>TEXT(SalesData[[#This Row],[Date]],"YYYY")&amp;"  Q"&amp;INT(MONTH(SalesData[[#This Row],[Date]]/2)+3)</f>
        <v>2023  Q10</v>
      </c>
    </row>
    <row r="1224" spans="1:21"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c r="T1224" t="str">
        <f>TEXT(SalesData[[#This Row],[Date]],"MMM-YYY")</f>
        <v>Jun-2024</v>
      </c>
      <c r="U1224" t="str">
        <f>TEXT(SalesData[[#This Row],[Date]],"YYYY")&amp;"  Q"&amp;INT(MONTH(SalesData[[#This Row],[Date]]/2)+3)</f>
        <v>2024  Q6</v>
      </c>
    </row>
    <row r="1225" spans="1:21"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c r="T1225" t="str">
        <f>TEXT(SalesData[[#This Row],[Date]],"MMM-YYY")</f>
        <v>Oct-2023</v>
      </c>
      <c r="U1225" t="str">
        <f>TEXT(SalesData[[#This Row],[Date]],"YYYY")&amp;"  Q"&amp;INT(MONTH(SalesData[[#This Row],[Date]]/2)+3)</f>
        <v>2023  Q14</v>
      </c>
    </row>
    <row r="1226" spans="1:21"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c r="T1226" t="str">
        <f>TEXT(SalesData[[#This Row],[Date]],"MMM-YYY")</f>
        <v>Jul-2024</v>
      </c>
      <c r="U1226" t="str">
        <f>TEXT(SalesData[[#This Row],[Date]],"YYYY")&amp;"  Q"&amp;INT(MONTH(SalesData[[#This Row],[Date]]/2)+3)</f>
        <v>2024  Q7</v>
      </c>
    </row>
    <row r="1227" spans="1:21"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c r="T1227" t="str">
        <f>TEXT(SalesData[[#This Row],[Date]],"MMM-YYY")</f>
        <v>Jul-2024</v>
      </c>
      <c r="U1227" t="str">
        <f>TEXT(SalesData[[#This Row],[Date]],"YYYY")&amp;"  Q"&amp;INT(MONTH(SalesData[[#This Row],[Date]]/2)+3)</f>
        <v>2024  Q7</v>
      </c>
    </row>
    <row r="1228" spans="1:21"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c r="T1228" t="str">
        <f>TEXT(SalesData[[#This Row],[Date]],"MMM-YYY")</f>
        <v>Jul-2023</v>
      </c>
      <c r="U1228" t="str">
        <f>TEXT(SalesData[[#This Row],[Date]],"YYYY")&amp;"  Q"&amp;INT(MONTH(SalesData[[#This Row],[Date]]/2)+3)</f>
        <v>2023  Q13</v>
      </c>
    </row>
    <row r="1229" spans="1:21"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c r="T1229" t="str">
        <f>TEXT(SalesData[[#This Row],[Date]],"MMM-YYY")</f>
        <v>Mar-2025</v>
      </c>
      <c r="U1229" t="str">
        <f>TEXT(SalesData[[#This Row],[Date]],"YYYY")&amp;"  Q"&amp;INT(MONTH(SalesData[[#This Row],[Date]]/2)+3)</f>
        <v>2025  Q10</v>
      </c>
    </row>
    <row r="1230" spans="1:21"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c r="T1230" t="str">
        <f>TEXT(SalesData[[#This Row],[Date]],"MMM-YYY")</f>
        <v>Feb-2023</v>
      </c>
      <c r="U1230" t="str">
        <f>TEXT(SalesData[[#This Row],[Date]],"YYYY")&amp;"  Q"&amp;INT(MONTH(SalesData[[#This Row],[Date]]/2)+3)</f>
        <v>2023  Q10</v>
      </c>
    </row>
    <row r="1231" spans="1:21"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c r="T1231" t="str">
        <f>TEXT(SalesData[[#This Row],[Date]],"MMM-YYY")</f>
        <v>Jan-2023</v>
      </c>
      <c r="U1231" t="str">
        <f>TEXT(SalesData[[#This Row],[Date]],"YYYY")&amp;"  Q"&amp;INT(MONTH(SalesData[[#This Row],[Date]]/2)+3)</f>
        <v>2023  Q10</v>
      </c>
    </row>
    <row r="1232" spans="1:21"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c r="T1232" t="str">
        <f>TEXT(SalesData[[#This Row],[Date]],"MMM-YYY")</f>
        <v>Apr-2024</v>
      </c>
      <c r="U1232" t="str">
        <f>TEXT(SalesData[[#This Row],[Date]],"YYYY")&amp;"  Q"&amp;INT(MONTH(SalesData[[#This Row],[Date]]/2)+3)</f>
        <v>2024  Q5</v>
      </c>
    </row>
    <row r="1233" spans="1:21"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c r="T1233" t="str">
        <f>TEXT(SalesData[[#This Row],[Date]],"MMM-YYY")</f>
        <v>Mar-2024</v>
      </c>
      <c r="U1233" t="str">
        <f>TEXT(SalesData[[#This Row],[Date]],"YYYY")&amp;"  Q"&amp;INT(MONTH(SalesData[[#This Row],[Date]]/2)+3)</f>
        <v>2024  Q5</v>
      </c>
    </row>
    <row r="1234" spans="1:21"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c r="T1234" t="str">
        <f>TEXT(SalesData[[#This Row],[Date]],"MMM-YYY")</f>
        <v>Oct-2024</v>
      </c>
      <c r="U1234" t="str">
        <f>TEXT(SalesData[[#This Row],[Date]],"YYYY")&amp;"  Q"&amp;INT(MONTH(SalesData[[#This Row],[Date]]/2)+3)</f>
        <v>2024  Q8</v>
      </c>
    </row>
    <row r="1235" spans="1:21"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c r="T1235" t="str">
        <f>TEXT(SalesData[[#This Row],[Date]],"MMM-YYY")</f>
        <v>Oct-2023</v>
      </c>
      <c r="U1235" t="str">
        <f>TEXT(SalesData[[#This Row],[Date]],"YYYY")&amp;"  Q"&amp;INT(MONTH(SalesData[[#This Row],[Date]]/2)+3)</f>
        <v>2023  Q14</v>
      </c>
    </row>
    <row r="1236" spans="1:21"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c r="T1236" t="str">
        <f>TEXT(SalesData[[#This Row],[Date]],"MMM-YYY")</f>
        <v>Apr-2023</v>
      </c>
      <c r="U1236" t="str">
        <f>TEXT(SalesData[[#This Row],[Date]],"YYYY")&amp;"  Q"&amp;INT(MONTH(SalesData[[#This Row],[Date]]/2)+3)</f>
        <v>2023  Q11</v>
      </c>
    </row>
    <row r="1237" spans="1:21"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c r="T1237" t="str">
        <f>TEXT(SalesData[[#This Row],[Date]],"MMM-YYY")</f>
        <v>Feb-2024</v>
      </c>
      <c r="U1237" t="str">
        <f>TEXT(SalesData[[#This Row],[Date]],"YYYY")&amp;"  Q"&amp;INT(MONTH(SalesData[[#This Row],[Date]]/2)+3)</f>
        <v>2024  Q4</v>
      </c>
    </row>
    <row r="1238" spans="1:21"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c r="T1238" t="str">
        <f>TEXT(SalesData[[#This Row],[Date]],"MMM-YYY")</f>
        <v>Jan-2023</v>
      </c>
      <c r="U1238" t="str">
        <f>TEXT(SalesData[[#This Row],[Date]],"YYYY")&amp;"  Q"&amp;INT(MONTH(SalesData[[#This Row],[Date]]/2)+3)</f>
        <v>2023  Q10</v>
      </c>
    </row>
    <row r="1239" spans="1:21"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c r="T1239" t="str">
        <f>TEXT(SalesData[[#This Row],[Date]],"MMM-YYY")</f>
        <v>May-2023</v>
      </c>
      <c r="U1239" t="str">
        <f>TEXT(SalesData[[#This Row],[Date]],"YYYY")&amp;"  Q"&amp;INT(MONTH(SalesData[[#This Row],[Date]]/2)+3)</f>
        <v>2023  Q12</v>
      </c>
    </row>
    <row r="1240" spans="1:21"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c r="T1240" t="str">
        <f>TEXT(SalesData[[#This Row],[Date]],"MMM-YYY")</f>
        <v>Jan-2024</v>
      </c>
      <c r="U1240" t="str">
        <f>TEXT(SalesData[[#This Row],[Date]],"YYYY")&amp;"  Q"&amp;INT(MONTH(SalesData[[#This Row],[Date]]/2)+3)</f>
        <v>2024  Q4</v>
      </c>
    </row>
    <row r="1241" spans="1:21"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c r="T1241" t="str">
        <f>TEXT(SalesData[[#This Row],[Date]],"MMM-YYY")</f>
        <v>Jun-2024</v>
      </c>
      <c r="U1241" t="str">
        <f>TEXT(SalesData[[#This Row],[Date]],"YYYY")&amp;"  Q"&amp;INT(MONTH(SalesData[[#This Row],[Date]]/2)+3)</f>
        <v>2024  Q6</v>
      </c>
    </row>
    <row r="1242" spans="1:21"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c r="T1242" t="str">
        <f>TEXT(SalesData[[#This Row],[Date]],"MMM-YYY")</f>
        <v>May-2025</v>
      </c>
      <c r="U1242" t="str">
        <f>TEXT(SalesData[[#This Row],[Date]],"YYYY")&amp;"  Q"&amp;INT(MONTH(SalesData[[#This Row],[Date]]/2)+3)</f>
        <v>2025  Q12</v>
      </c>
    </row>
    <row r="1243" spans="1:21"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c r="T1243" t="str">
        <f>TEXT(SalesData[[#This Row],[Date]],"MMM-YYY")</f>
        <v>May-2025</v>
      </c>
      <c r="U1243" t="str">
        <f>TEXT(SalesData[[#This Row],[Date]],"YYYY")&amp;"  Q"&amp;INT(MONTH(SalesData[[#This Row],[Date]]/2)+3)</f>
        <v>2025  Q12</v>
      </c>
    </row>
    <row r="1244" spans="1:21"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c r="T1244" t="str">
        <f>TEXT(SalesData[[#This Row],[Date]],"MMM-YYY")</f>
        <v>Mar-2023</v>
      </c>
      <c r="U1244" t="str">
        <f>TEXT(SalesData[[#This Row],[Date]],"YYYY")&amp;"  Q"&amp;INT(MONTH(SalesData[[#This Row],[Date]]/2)+3)</f>
        <v>2023  Q11</v>
      </c>
    </row>
    <row r="1245" spans="1:21"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c r="T1245" t="str">
        <f>TEXT(SalesData[[#This Row],[Date]],"MMM-YYY")</f>
        <v>Oct-2024</v>
      </c>
      <c r="U1245" t="str">
        <f>TEXT(SalesData[[#This Row],[Date]],"YYYY")&amp;"  Q"&amp;INT(MONTH(SalesData[[#This Row],[Date]]/2)+3)</f>
        <v>2024  Q8</v>
      </c>
    </row>
    <row r="1246" spans="1:21"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c r="T1246" t="str">
        <f>TEXT(SalesData[[#This Row],[Date]],"MMM-YYY")</f>
        <v>Mar-2025</v>
      </c>
      <c r="U1246" t="str">
        <f>TEXT(SalesData[[#This Row],[Date]],"YYYY")&amp;"  Q"&amp;INT(MONTH(SalesData[[#This Row],[Date]]/2)+3)</f>
        <v>2025  Q11</v>
      </c>
    </row>
    <row r="1247" spans="1:21"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c r="T1247" t="str">
        <f>TEXT(SalesData[[#This Row],[Date]],"MMM-YYY")</f>
        <v>Sep-2024</v>
      </c>
      <c r="U1247" t="str">
        <f>TEXT(SalesData[[#This Row],[Date]],"YYYY")&amp;"  Q"&amp;INT(MONTH(SalesData[[#This Row],[Date]]/2)+3)</f>
        <v>2024  Q8</v>
      </c>
    </row>
    <row r="1248" spans="1:21"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c r="T1248" t="str">
        <f>TEXT(SalesData[[#This Row],[Date]],"MMM-YYY")</f>
        <v>May-2025</v>
      </c>
      <c r="U1248" t="str">
        <f>TEXT(SalesData[[#This Row],[Date]],"YYYY")&amp;"  Q"&amp;INT(MONTH(SalesData[[#This Row],[Date]]/2)+3)</f>
        <v>2025  Q12</v>
      </c>
    </row>
    <row r="1249" spans="1:21"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c r="T1249" t="str">
        <f>TEXT(SalesData[[#This Row],[Date]],"MMM-YYY")</f>
        <v>Jul-2024</v>
      </c>
      <c r="U1249" t="str">
        <f>TEXT(SalesData[[#This Row],[Date]],"YYYY")&amp;"  Q"&amp;INT(MONTH(SalesData[[#This Row],[Date]]/2)+3)</f>
        <v>2024  Q7</v>
      </c>
    </row>
    <row r="1250" spans="1:21"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c r="T1250" t="str">
        <f>TEXT(SalesData[[#This Row],[Date]],"MMM-YYY")</f>
        <v>Jan-2025</v>
      </c>
      <c r="U1250" t="str">
        <f>TEXT(SalesData[[#This Row],[Date]],"YYYY")&amp;"  Q"&amp;INT(MONTH(SalesData[[#This Row],[Date]]/2)+3)</f>
        <v>2025  Q10</v>
      </c>
    </row>
    <row r="1251" spans="1:21"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c r="T1251" t="str">
        <f>TEXT(SalesData[[#This Row],[Date]],"MMM-YYY")</f>
        <v>Nov-2023</v>
      </c>
      <c r="U1251" t="str">
        <f>TEXT(SalesData[[#This Row],[Date]],"YYYY")&amp;"  Q"&amp;INT(MONTH(SalesData[[#This Row],[Date]]/2)+3)</f>
        <v>2023  Q15</v>
      </c>
    </row>
    <row r="1252" spans="1:21"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c r="T1252" t="str">
        <f>TEXT(SalesData[[#This Row],[Date]],"MMM-YYY")</f>
        <v>Jun-2024</v>
      </c>
      <c r="U1252" t="str">
        <f>TEXT(SalesData[[#This Row],[Date]],"YYYY")&amp;"  Q"&amp;INT(MONTH(SalesData[[#This Row],[Date]]/2)+3)</f>
        <v>2024  Q6</v>
      </c>
    </row>
    <row r="1253" spans="1:21"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c r="T1253" t="str">
        <f>TEXT(SalesData[[#This Row],[Date]],"MMM-YYY")</f>
        <v>Jan-2023</v>
      </c>
      <c r="U1253" t="str">
        <f>TEXT(SalesData[[#This Row],[Date]],"YYYY")&amp;"  Q"&amp;INT(MONTH(SalesData[[#This Row],[Date]]/2)+3)</f>
        <v>2023  Q10</v>
      </c>
    </row>
    <row r="1254" spans="1:21"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c r="T1254" t="str">
        <f>TEXT(SalesData[[#This Row],[Date]],"MMM-YYY")</f>
        <v>May-2025</v>
      </c>
      <c r="U1254" t="str">
        <f>TEXT(SalesData[[#This Row],[Date]],"YYYY")&amp;"  Q"&amp;INT(MONTH(SalesData[[#This Row],[Date]]/2)+3)</f>
        <v>2025  Q12</v>
      </c>
    </row>
    <row r="1255" spans="1:21"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c r="T1255" t="str">
        <f>TEXT(SalesData[[#This Row],[Date]],"MMM-YYY")</f>
        <v>Jan-2025</v>
      </c>
      <c r="U1255" t="str">
        <f>TEXT(SalesData[[#This Row],[Date]],"YYYY")&amp;"  Q"&amp;INT(MONTH(SalesData[[#This Row],[Date]]/2)+3)</f>
        <v>2025  Q10</v>
      </c>
    </row>
    <row r="1256" spans="1:21"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c r="T1256" t="str">
        <f>TEXT(SalesData[[#This Row],[Date]],"MMM-YYY")</f>
        <v>Feb-2024</v>
      </c>
      <c r="U1256" t="str">
        <f>TEXT(SalesData[[#This Row],[Date]],"YYYY")&amp;"  Q"&amp;INT(MONTH(SalesData[[#This Row],[Date]]/2)+3)</f>
        <v>2024  Q4</v>
      </c>
    </row>
    <row r="1257" spans="1:21"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c r="T1257" t="str">
        <f>TEXT(SalesData[[#This Row],[Date]],"MMM-YYY")</f>
        <v>Dec-2023</v>
      </c>
      <c r="U1257" t="str">
        <f>TEXT(SalesData[[#This Row],[Date]],"YYYY")&amp;"  Q"&amp;INT(MONTH(SalesData[[#This Row],[Date]]/2)+3)</f>
        <v>2023  Q15</v>
      </c>
    </row>
    <row r="1258" spans="1:21"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c r="T1258" t="str">
        <f>TEXT(SalesData[[#This Row],[Date]],"MMM-YYY")</f>
        <v>Mar-2023</v>
      </c>
      <c r="U1258" t="str">
        <f>TEXT(SalesData[[#This Row],[Date]],"YYYY")&amp;"  Q"&amp;INT(MONTH(SalesData[[#This Row],[Date]]/2)+3)</f>
        <v>2023  Q11</v>
      </c>
    </row>
    <row r="1259" spans="1:21"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c r="T1259" t="str">
        <f>TEXT(SalesData[[#This Row],[Date]],"MMM-YYY")</f>
        <v>Sep-2024</v>
      </c>
      <c r="U1259" t="str">
        <f>TEXT(SalesData[[#This Row],[Date]],"YYYY")&amp;"  Q"&amp;INT(MONTH(SalesData[[#This Row],[Date]]/2)+3)</f>
        <v>2024  Q8</v>
      </c>
    </row>
    <row r="1260" spans="1:21"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c r="T1260" t="str">
        <f>TEXT(SalesData[[#This Row],[Date]],"MMM-YYY")</f>
        <v>Jan-2024</v>
      </c>
      <c r="U1260" t="str">
        <f>TEXT(SalesData[[#This Row],[Date]],"YYYY")&amp;"  Q"&amp;INT(MONTH(SalesData[[#This Row],[Date]]/2)+3)</f>
        <v>2024  Q15</v>
      </c>
    </row>
    <row r="1261" spans="1:21"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c r="T1261" t="str">
        <f>TEXT(SalesData[[#This Row],[Date]],"MMM-YYY")</f>
        <v>Feb-2025</v>
      </c>
      <c r="U1261" t="str">
        <f>TEXT(SalesData[[#This Row],[Date]],"YYYY")&amp;"  Q"&amp;INT(MONTH(SalesData[[#This Row],[Date]]/2)+3)</f>
        <v>2025  Q10</v>
      </c>
    </row>
    <row r="1262" spans="1:21"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c r="T1262" t="str">
        <f>TEXT(SalesData[[#This Row],[Date]],"MMM-YYY")</f>
        <v>Mar-2025</v>
      </c>
      <c r="U1262" t="str">
        <f>TEXT(SalesData[[#This Row],[Date]],"YYYY")&amp;"  Q"&amp;INT(MONTH(SalesData[[#This Row],[Date]]/2)+3)</f>
        <v>2025  Q11</v>
      </c>
    </row>
    <row r="1263" spans="1:21"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c r="T1263" t="str">
        <f>TEXT(SalesData[[#This Row],[Date]],"MMM-YYY")</f>
        <v>Mar-2024</v>
      </c>
      <c r="U1263" t="str">
        <f>TEXT(SalesData[[#This Row],[Date]],"YYYY")&amp;"  Q"&amp;INT(MONTH(SalesData[[#This Row],[Date]]/2)+3)</f>
        <v>2024  Q5</v>
      </c>
    </row>
    <row r="1264" spans="1:21"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c r="T1264" t="str">
        <f>TEXT(SalesData[[#This Row],[Date]],"MMM-YYY")</f>
        <v>Jul-2024</v>
      </c>
      <c r="U1264" t="str">
        <f>TEXT(SalesData[[#This Row],[Date]],"YYYY")&amp;"  Q"&amp;INT(MONTH(SalesData[[#This Row],[Date]]/2)+3)</f>
        <v>2024  Q7</v>
      </c>
    </row>
    <row r="1265" spans="1:21"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c r="T1265" t="str">
        <f>TEXT(SalesData[[#This Row],[Date]],"MMM-YYY")</f>
        <v>Jan-2025</v>
      </c>
      <c r="U1265" t="str">
        <f>TEXT(SalesData[[#This Row],[Date]],"YYYY")&amp;"  Q"&amp;INT(MONTH(SalesData[[#This Row],[Date]]/2)+3)</f>
        <v>2025  Q10</v>
      </c>
    </row>
    <row r="1266" spans="1:21"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c r="T1266" t="str">
        <f>TEXT(SalesData[[#This Row],[Date]],"MMM-YYY")</f>
        <v>Mar-2024</v>
      </c>
      <c r="U1266" t="str">
        <f>TEXT(SalesData[[#This Row],[Date]],"YYYY")&amp;"  Q"&amp;INT(MONTH(SalesData[[#This Row],[Date]]/2)+3)</f>
        <v>2024  Q5</v>
      </c>
    </row>
    <row r="1267" spans="1:21"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c r="T1267" t="str">
        <f>TEXT(SalesData[[#This Row],[Date]],"MMM-YYY")</f>
        <v>Mar-2025</v>
      </c>
      <c r="U1267" t="str">
        <f>TEXT(SalesData[[#This Row],[Date]],"YYYY")&amp;"  Q"&amp;INT(MONTH(SalesData[[#This Row],[Date]]/2)+3)</f>
        <v>2025  Q11</v>
      </c>
    </row>
    <row r="1268" spans="1:21"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c r="T1268" t="str">
        <f>TEXT(SalesData[[#This Row],[Date]],"MMM-YYY")</f>
        <v>Apr-2025</v>
      </c>
      <c r="U1268" t="str">
        <f>TEXT(SalesData[[#This Row],[Date]],"YYYY")&amp;"  Q"&amp;INT(MONTH(SalesData[[#This Row],[Date]]/2)+3)</f>
        <v>2025  Q11</v>
      </c>
    </row>
    <row r="1269" spans="1:21"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c r="T1269" t="str">
        <f>TEXT(SalesData[[#This Row],[Date]],"MMM-YYY")</f>
        <v>Apr-2024</v>
      </c>
      <c r="U1269" t="str">
        <f>TEXT(SalesData[[#This Row],[Date]],"YYYY")&amp;"  Q"&amp;INT(MONTH(SalesData[[#This Row],[Date]]/2)+3)</f>
        <v>2024  Q6</v>
      </c>
    </row>
    <row r="1270" spans="1:21"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c r="T1270" t="str">
        <f>TEXT(SalesData[[#This Row],[Date]],"MMM-YYY")</f>
        <v>Feb-2025</v>
      </c>
      <c r="U1270" t="str">
        <f>TEXT(SalesData[[#This Row],[Date]],"YYYY")&amp;"  Q"&amp;INT(MONTH(SalesData[[#This Row],[Date]]/2)+3)</f>
        <v>2025  Q10</v>
      </c>
    </row>
    <row r="1271" spans="1:21"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c r="T1271" t="str">
        <f>TEXT(SalesData[[#This Row],[Date]],"MMM-YYY")</f>
        <v>Feb-2025</v>
      </c>
      <c r="U1271" t="str">
        <f>TEXT(SalesData[[#This Row],[Date]],"YYYY")&amp;"  Q"&amp;INT(MONTH(SalesData[[#This Row],[Date]]/2)+3)</f>
        <v>2025  Q10</v>
      </c>
    </row>
    <row r="1272" spans="1:21"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c r="T1272" t="str">
        <f>TEXT(SalesData[[#This Row],[Date]],"MMM-YYY")</f>
        <v>Sep-2023</v>
      </c>
      <c r="U1272" t="str">
        <f>TEXT(SalesData[[#This Row],[Date]],"YYYY")&amp;"  Q"&amp;INT(MONTH(SalesData[[#This Row],[Date]]/2)+3)</f>
        <v>2023  Q14</v>
      </c>
    </row>
    <row r="1273" spans="1:21"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c r="T1273" t="str">
        <f>TEXT(SalesData[[#This Row],[Date]],"MMM-YYY")</f>
        <v>Feb-2024</v>
      </c>
      <c r="U1273" t="str">
        <f>TEXT(SalesData[[#This Row],[Date]],"YYYY")&amp;"  Q"&amp;INT(MONTH(SalesData[[#This Row],[Date]]/2)+3)</f>
        <v>2024  Q4</v>
      </c>
    </row>
    <row r="1274" spans="1:21"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c r="T1274" t="str">
        <f>TEXT(SalesData[[#This Row],[Date]],"MMM-YYY")</f>
        <v>Nov-2024</v>
      </c>
      <c r="U1274" t="str">
        <f>TEXT(SalesData[[#This Row],[Date]],"YYYY")&amp;"  Q"&amp;INT(MONTH(SalesData[[#This Row],[Date]]/2)+3)</f>
        <v>2024  Q9</v>
      </c>
    </row>
    <row r="1275" spans="1:21"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c r="T1275" t="str">
        <f>TEXT(SalesData[[#This Row],[Date]],"MMM-YYY")</f>
        <v>Dec-2024</v>
      </c>
      <c r="U1275" t="str">
        <f>TEXT(SalesData[[#This Row],[Date]],"YYYY")&amp;"  Q"&amp;INT(MONTH(SalesData[[#This Row],[Date]]/2)+3)</f>
        <v>2024  Q10</v>
      </c>
    </row>
    <row r="1276" spans="1:21"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c r="T1276" t="str">
        <f>TEXT(SalesData[[#This Row],[Date]],"MMM-YYY")</f>
        <v>Sep-2023</v>
      </c>
      <c r="U1276" t="str">
        <f>TEXT(SalesData[[#This Row],[Date]],"YYYY")&amp;"  Q"&amp;INT(MONTH(SalesData[[#This Row],[Date]]/2)+3)</f>
        <v>2023  Q14</v>
      </c>
    </row>
    <row r="1277" spans="1:21"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c r="T1277" t="str">
        <f>TEXT(SalesData[[#This Row],[Date]],"MMM-YYY")</f>
        <v>Aug-2023</v>
      </c>
      <c r="U1277" t="str">
        <f>TEXT(SalesData[[#This Row],[Date]],"YYYY")&amp;"  Q"&amp;INT(MONTH(SalesData[[#This Row],[Date]]/2)+3)</f>
        <v>2023  Q13</v>
      </c>
    </row>
    <row r="1278" spans="1:21"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c r="T1278" t="str">
        <f>TEXT(SalesData[[#This Row],[Date]],"MMM-YYY")</f>
        <v>Jan-2023</v>
      </c>
      <c r="U1278" t="str">
        <f>TEXT(SalesData[[#This Row],[Date]],"YYYY")&amp;"  Q"&amp;INT(MONTH(SalesData[[#This Row],[Date]]/2)+3)</f>
        <v>2023  Q10</v>
      </c>
    </row>
    <row r="1279" spans="1:21"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c r="T1279" t="str">
        <f>TEXT(SalesData[[#This Row],[Date]],"MMM-YYY")</f>
        <v>May-2025</v>
      </c>
      <c r="U1279" t="str">
        <f>TEXT(SalesData[[#This Row],[Date]],"YYYY")&amp;"  Q"&amp;INT(MONTH(SalesData[[#This Row],[Date]]/2)+3)</f>
        <v>2025  Q11</v>
      </c>
    </row>
    <row r="1280" spans="1:21"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c r="T1280" t="str">
        <f>TEXT(SalesData[[#This Row],[Date]],"MMM-YYY")</f>
        <v>Dec-2023</v>
      </c>
      <c r="U1280" t="str">
        <f>TEXT(SalesData[[#This Row],[Date]],"YYYY")&amp;"  Q"&amp;INT(MONTH(SalesData[[#This Row],[Date]]/2)+3)</f>
        <v>2023  Q15</v>
      </c>
    </row>
    <row r="1281" spans="1:21"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c r="T1281" t="str">
        <f>TEXT(SalesData[[#This Row],[Date]],"MMM-YYY")</f>
        <v>Sep-2024</v>
      </c>
      <c r="U1281" t="str">
        <f>TEXT(SalesData[[#This Row],[Date]],"YYYY")&amp;"  Q"&amp;INT(MONTH(SalesData[[#This Row],[Date]]/2)+3)</f>
        <v>2024  Q8</v>
      </c>
    </row>
    <row r="1282" spans="1:21"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c r="T1282" t="str">
        <f>TEXT(SalesData[[#This Row],[Date]],"MMM-YYY")</f>
        <v>Apr-2024</v>
      </c>
      <c r="U1282" t="str">
        <f>TEXT(SalesData[[#This Row],[Date]],"YYYY")&amp;"  Q"&amp;INT(MONTH(SalesData[[#This Row],[Date]]/2)+3)</f>
        <v>2024  Q5</v>
      </c>
    </row>
    <row r="1283" spans="1:21"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c r="T1283" t="str">
        <f>TEXT(SalesData[[#This Row],[Date]],"MMM-YYY")</f>
        <v>Jul-2023</v>
      </c>
      <c r="U1283" t="str">
        <f>TEXT(SalesData[[#This Row],[Date]],"YYYY")&amp;"  Q"&amp;INT(MONTH(SalesData[[#This Row],[Date]]/2)+3)</f>
        <v>2023  Q13</v>
      </c>
    </row>
    <row r="1284" spans="1:21"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c r="T1284" t="str">
        <f>TEXT(SalesData[[#This Row],[Date]],"MMM-YYY")</f>
        <v>Nov-2023</v>
      </c>
      <c r="U1284" t="str">
        <f>TEXT(SalesData[[#This Row],[Date]],"YYYY")&amp;"  Q"&amp;INT(MONTH(SalesData[[#This Row],[Date]]/2)+3)</f>
        <v>2023  Q15</v>
      </c>
    </row>
    <row r="1285" spans="1:21"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c r="T1285" t="str">
        <f>TEXT(SalesData[[#This Row],[Date]],"MMM-YYY")</f>
        <v>Apr-2025</v>
      </c>
      <c r="U1285" t="str">
        <f>TEXT(SalesData[[#This Row],[Date]],"YYYY")&amp;"  Q"&amp;INT(MONTH(SalesData[[#This Row],[Date]]/2)+3)</f>
        <v>2025  Q11</v>
      </c>
    </row>
    <row r="1286" spans="1:21"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c r="T1286" t="str">
        <f>TEXT(SalesData[[#This Row],[Date]],"MMM-YYY")</f>
        <v>Aug-2023</v>
      </c>
      <c r="U1286" t="str">
        <f>TEXT(SalesData[[#This Row],[Date]],"YYYY")&amp;"  Q"&amp;INT(MONTH(SalesData[[#This Row],[Date]]/2)+3)</f>
        <v>2023  Q13</v>
      </c>
    </row>
    <row r="1287" spans="1:21"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c r="T1287" t="str">
        <f>TEXT(SalesData[[#This Row],[Date]],"MMM-YYY")</f>
        <v>Dec-2024</v>
      </c>
      <c r="U1287" t="str">
        <f>TEXT(SalesData[[#This Row],[Date]],"YYYY")&amp;"  Q"&amp;INT(MONTH(SalesData[[#This Row],[Date]]/2)+3)</f>
        <v>2024  Q9</v>
      </c>
    </row>
    <row r="1288" spans="1:21"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c r="T1288" t="str">
        <f>TEXT(SalesData[[#This Row],[Date]],"MMM-YYY")</f>
        <v>May-2025</v>
      </c>
      <c r="U1288" t="str">
        <f>TEXT(SalesData[[#This Row],[Date]],"YYYY")&amp;"  Q"&amp;INT(MONTH(SalesData[[#This Row],[Date]]/2)+3)</f>
        <v>2025  Q12</v>
      </c>
    </row>
    <row r="1289" spans="1:21"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c r="T1289" t="str">
        <f>TEXT(SalesData[[#This Row],[Date]],"MMM-YYY")</f>
        <v>Mar-2025</v>
      </c>
      <c r="U1289" t="str">
        <f>TEXT(SalesData[[#This Row],[Date]],"YYYY")&amp;"  Q"&amp;INT(MONTH(SalesData[[#This Row],[Date]]/2)+3)</f>
        <v>2025  Q11</v>
      </c>
    </row>
    <row r="1290" spans="1:21"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c r="T1290" t="str">
        <f>TEXT(SalesData[[#This Row],[Date]],"MMM-YYY")</f>
        <v>Jun-2025</v>
      </c>
      <c r="U1290" t="str">
        <f>TEXT(SalesData[[#This Row],[Date]],"YYYY")&amp;"  Q"&amp;INT(MONTH(SalesData[[#This Row],[Date]]/2)+3)</f>
        <v>2025  Q12</v>
      </c>
    </row>
    <row r="1291" spans="1:21"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c r="T1291" t="str">
        <f>TEXT(SalesData[[#This Row],[Date]],"MMM-YYY")</f>
        <v>May-2025</v>
      </c>
      <c r="U1291" t="str">
        <f>TEXT(SalesData[[#This Row],[Date]],"YYYY")&amp;"  Q"&amp;INT(MONTH(SalesData[[#This Row],[Date]]/2)+3)</f>
        <v>2025  Q12</v>
      </c>
    </row>
    <row r="1292" spans="1:21"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c r="T1292" t="str">
        <f>TEXT(SalesData[[#This Row],[Date]],"MMM-YYY")</f>
        <v>Feb-2023</v>
      </c>
      <c r="U1292" t="str">
        <f>TEXT(SalesData[[#This Row],[Date]],"YYYY")&amp;"  Q"&amp;INT(MONTH(SalesData[[#This Row],[Date]]/2)+3)</f>
        <v>2023  Q10</v>
      </c>
    </row>
    <row r="1293" spans="1:21"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c r="T1293" t="str">
        <f>TEXT(SalesData[[#This Row],[Date]],"MMM-YYY")</f>
        <v>Apr-2025</v>
      </c>
      <c r="U1293" t="str">
        <f>TEXT(SalesData[[#This Row],[Date]],"YYYY")&amp;"  Q"&amp;INT(MONTH(SalesData[[#This Row],[Date]]/2)+3)</f>
        <v>2025  Q11</v>
      </c>
    </row>
    <row r="1294" spans="1:21"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c r="T1294" t="str">
        <f>TEXT(SalesData[[#This Row],[Date]],"MMM-YYY")</f>
        <v>Sep-2024</v>
      </c>
      <c r="U1294" t="str">
        <f>TEXT(SalesData[[#This Row],[Date]],"YYYY")&amp;"  Q"&amp;INT(MONTH(SalesData[[#This Row],[Date]]/2)+3)</f>
        <v>2024  Q8</v>
      </c>
    </row>
    <row r="1295" spans="1:21"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c r="T1295" t="str">
        <f>TEXT(SalesData[[#This Row],[Date]],"MMM-YYY")</f>
        <v>Nov-2024</v>
      </c>
      <c r="U1295" t="str">
        <f>TEXT(SalesData[[#This Row],[Date]],"YYYY")&amp;"  Q"&amp;INT(MONTH(SalesData[[#This Row],[Date]]/2)+3)</f>
        <v>2024  Q9</v>
      </c>
    </row>
    <row r="1296" spans="1:21"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c r="T1296" t="str">
        <f>TEXT(SalesData[[#This Row],[Date]],"MMM-YYY")</f>
        <v>Nov-2024</v>
      </c>
      <c r="U1296" t="str">
        <f>TEXT(SalesData[[#This Row],[Date]],"YYYY")&amp;"  Q"&amp;INT(MONTH(SalesData[[#This Row],[Date]]/2)+3)</f>
        <v>2024  Q9</v>
      </c>
    </row>
    <row r="1297" spans="1:21"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c r="T1297" t="str">
        <f>TEXT(SalesData[[#This Row],[Date]],"MMM-YYY")</f>
        <v>Apr-2023</v>
      </c>
      <c r="U1297" t="str">
        <f>TEXT(SalesData[[#This Row],[Date]],"YYYY")&amp;"  Q"&amp;INT(MONTH(SalesData[[#This Row],[Date]]/2)+3)</f>
        <v>2023  Q11</v>
      </c>
    </row>
    <row r="1298" spans="1:21"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c r="T1298" t="str">
        <f>TEXT(SalesData[[#This Row],[Date]],"MMM-YYY")</f>
        <v>Jan-2024</v>
      </c>
      <c r="U1298" t="str">
        <f>TEXT(SalesData[[#This Row],[Date]],"YYYY")&amp;"  Q"&amp;INT(MONTH(SalesData[[#This Row],[Date]]/2)+3)</f>
        <v>2024  Q4</v>
      </c>
    </row>
    <row r="1299" spans="1:21"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c r="T1299" t="str">
        <f>TEXT(SalesData[[#This Row],[Date]],"MMM-YYY")</f>
        <v>May-2025</v>
      </c>
      <c r="U1299" t="str">
        <f>TEXT(SalesData[[#This Row],[Date]],"YYYY")&amp;"  Q"&amp;INT(MONTH(SalesData[[#This Row],[Date]]/2)+3)</f>
        <v>2025  Q12</v>
      </c>
    </row>
    <row r="1300" spans="1:21"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c r="T1300" t="str">
        <f>TEXT(SalesData[[#This Row],[Date]],"MMM-YYY")</f>
        <v>Jul-2024</v>
      </c>
      <c r="U1300" t="str">
        <f>TEXT(SalesData[[#This Row],[Date]],"YYYY")&amp;"  Q"&amp;INT(MONTH(SalesData[[#This Row],[Date]]/2)+3)</f>
        <v>2024  Q7</v>
      </c>
    </row>
    <row r="1301" spans="1:21"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c r="T1301" t="str">
        <f>TEXT(SalesData[[#This Row],[Date]],"MMM-YYY")</f>
        <v>Dec-2024</v>
      </c>
      <c r="U1301" t="str">
        <f>TEXT(SalesData[[#This Row],[Date]],"YYYY")&amp;"  Q"&amp;INT(MONTH(SalesData[[#This Row],[Date]]/2)+3)</f>
        <v>2024  Q9</v>
      </c>
    </row>
    <row r="1302" spans="1:21"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c r="T1302" t="str">
        <f>TEXT(SalesData[[#This Row],[Date]],"MMM-YYY")</f>
        <v>Jan-2025</v>
      </c>
      <c r="U1302" t="str">
        <f>TEXT(SalesData[[#This Row],[Date]],"YYYY")&amp;"  Q"&amp;INT(MONTH(SalesData[[#This Row],[Date]]/2)+3)</f>
        <v>2025  Q10</v>
      </c>
    </row>
    <row r="1303" spans="1:21"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c r="T1303" t="str">
        <f>TEXT(SalesData[[#This Row],[Date]],"MMM-YYY")</f>
        <v>Mar-2024</v>
      </c>
      <c r="U1303" t="str">
        <f>TEXT(SalesData[[#This Row],[Date]],"YYYY")&amp;"  Q"&amp;INT(MONTH(SalesData[[#This Row],[Date]]/2)+3)</f>
        <v>2024  Q5</v>
      </c>
    </row>
    <row r="1304" spans="1:21"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c r="T1304" t="str">
        <f>TEXT(SalesData[[#This Row],[Date]],"MMM-YYY")</f>
        <v>Mar-2025</v>
      </c>
      <c r="U1304" t="str">
        <f>TEXT(SalesData[[#This Row],[Date]],"YYYY")&amp;"  Q"&amp;INT(MONTH(SalesData[[#This Row],[Date]]/2)+3)</f>
        <v>2025  Q11</v>
      </c>
    </row>
    <row r="1305" spans="1:21"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c r="T1305" t="str">
        <f>TEXT(SalesData[[#This Row],[Date]],"MMM-YYY")</f>
        <v>Oct-2023</v>
      </c>
      <c r="U1305" t="str">
        <f>TEXT(SalesData[[#This Row],[Date]],"YYYY")&amp;"  Q"&amp;INT(MONTH(SalesData[[#This Row],[Date]]/2)+3)</f>
        <v>2023  Q14</v>
      </c>
    </row>
    <row r="1306" spans="1:21"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c r="T1306" t="str">
        <f>TEXT(SalesData[[#This Row],[Date]],"MMM-YYY")</f>
        <v>Sep-2024</v>
      </c>
      <c r="U1306" t="str">
        <f>TEXT(SalesData[[#This Row],[Date]],"YYYY")&amp;"  Q"&amp;INT(MONTH(SalesData[[#This Row],[Date]]/2)+3)</f>
        <v>2024  Q8</v>
      </c>
    </row>
    <row r="1307" spans="1:21"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c r="T1307" t="str">
        <f>TEXT(SalesData[[#This Row],[Date]],"MMM-YYY")</f>
        <v>Sep-2023</v>
      </c>
      <c r="U1307" t="str">
        <f>TEXT(SalesData[[#This Row],[Date]],"YYYY")&amp;"  Q"&amp;INT(MONTH(SalesData[[#This Row],[Date]]/2)+3)</f>
        <v>2023  Q14</v>
      </c>
    </row>
    <row r="1308" spans="1:21"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c r="T1308" t="str">
        <f>TEXT(SalesData[[#This Row],[Date]],"MMM-YYY")</f>
        <v>Dec-2024</v>
      </c>
      <c r="U1308" t="str">
        <f>TEXT(SalesData[[#This Row],[Date]],"YYYY")&amp;"  Q"&amp;INT(MONTH(SalesData[[#This Row],[Date]]/2)+3)</f>
        <v>2024  Q10</v>
      </c>
    </row>
    <row r="1309" spans="1:21"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c r="T1309" t="str">
        <f>TEXT(SalesData[[#This Row],[Date]],"MMM-YYY")</f>
        <v>Jan-2024</v>
      </c>
      <c r="U1309" t="str">
        <f>TEXT(SalesData[[#This Row],[Date]],"YYYY")&amp;"  Q"&amp;INT(MONTH(SalesData[[#This Row],[Date]]/2)+3)</f>
        <v>2024  Q4</v>
      </c>
    </row>
    <row r="1310" spans="1:21"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c r="T1310" t="str">
        <f>TEXT(SalesData[[#This Row],[Date]],"MMM-YYY")</f>
        <v>Jun-2023</v>
      </c>
      <c r="U1310" t="str">
        <f>TEXT(SalesData[[#This Row],[Date]],"YYYY")&amp;"  Q"&amp;INT(MONTH(SalesData[[#This Row],[Date]]/2)+3)</f>
        <v>2023  Q12</v>
      </c>
    </row>
    <row r="1311" spans="1:21"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c r="T1311" t="str">
        <f>TEXT(SalesData[[#This Row],[Date]],"MMM-YYY")</f>
        <v>Jul-2023</v>
      </c>
      <c r="U1311" t="str">
        <f>TEXT(SalesData[[#This Row],[Date]],"YYYY")&amp;"  Q"&amp;INT(MONTH(SalesData[[#This Row],[Date]]/2)+3)</f>
        <v>2023  Q12</v>
      </c>
    </row>
    <row r="1312" spans="1:21"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c r="T1312" t="str">
        <f>TEXT(SalesData[[#This Row],[Date]],"MMM-YYY")</f>
        <v>Mar-2025</v>
      </c>
      <c r="U1312" t="str">
        <f>TEXT(SalesData[[#This Row],[Date]],"YYYY")&amp;"  Q"&amp;INT(MONTH(SalesData[[#This Row],[Date]]/2)+3)</f>
        <v>2025  Q11</v>
      </c>
    </row>
    <row r="1313" spans="1:21"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c r="T1313" t="str">
        <f>TEXT(SalesData[[#This Row],[Date]],"MMM-YYY")</f>
        <v>Feb-2025</v>
      </c>
      <c r="U1313" t="str">
        <f>TEXT(SalesData[[#This Row],[Date]],"YYYY")&amp;"  Q"&amp;INT(MONTH(SalesData[[#This Row],[Date]]/2)+3)</f>
        <v>2025  Q10</v>
      </c>
    </row>
    <row r="1314" spans="1:21"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c r="T1314" t="str">
        <f>TEXT(SalesData[[#This Row],[Date]],"MMM-YYY")</f>
        <v>Oct-2023</v>
      </c>
      <c r="U1314" t="str">
        <f>TEXT(SalesData[[#This Row],[Date]],"YYYY")&amp;"  Q"&amp;INT(MONTH(SalesData[[#This Row],[Date]]/2)+3)</f>
        <v>2023  Q14</v>
      </c>
    </row>
    <row r="1315" spans="1:21"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c r="T1315" t="str">
        <f>TEXT(SalesData[[#This Row],[Date]],"MMM-YYY")</f>
        <v>Jan-2024</v>
      </c>
      <c r="U1315" t="str">
        <f>TEXT(SalesData[[#This Row],[Date]],"YYYY")&amp;"  Q"&amp;INT(MONTH(SalesData[[#This Row],[Date]]/2)+3)</f>
        <v>2024  Q15</v>
      </c>
    </row>
    <row r="1316" spans="1:21"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c r="T1316" t="str">
        <f>TEXT(SalesData[[#This Row],[Date]],"MMM-YYY")</f>
        <v>Mar-2025</v>
      </c>
      <c r="U1316" t="str">
        <f>TEXT(SalesData[[#This Row],[Date]],"YYYY")&amp;"  Q"&amp;INT(MONTH(SalesData[[#This Row],[Date]]/2)+3)</f>
        <v>2025  Q11</v>
      </c>
    </row>
    <row r="1317" spans="1:21"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c r="T1317" t="str">
        <f>TEXT(SalesData[[#This Row],[Date]],"MMM-YYY")</f>
        <v>Jul-2023</v>
      </c>
      <c r="U1317" t="str">
        <f>TEXT(SalesData[[#This Row],[Date]],"YYYY")&amp;"  Q"&amp;INT(MONTH(SalesData[[#This Row],[Date]]/2)+3)</f>
        <v>2023  Q13</v>
      </c>
    </row>
    <row r="1318" spans="1:21"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c r="T1318" t="str">
        <f>TEXT(SalesData[[#This Row],[Date]],"MMM-YYY")</f>
        <v>Nov-2023</v>
      </c>
      <c r="U1318" t="str">
        <f>TEXT(SalesData[[#This Row],[Date]],"YYYY")&amp;"  Q"&amp;INT(MONTH(SalesData[[#This Row],[Date]]/2)+3)</f>
        <v>2023  Q15</v>
      </c>
    </row>
    <row r="1319" spans="1:21"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c r="T1319" t="str">
        <f>TEXT(SalesData[[#This Row],[Date]],"MMM-YYY")</f>
        <v>Feb-2024</v>
      </c>
      <c r="U1319" t="str">
        <f>TEXT(SalesData[[#This Row],[Date]],"YYYY")&amp;"  Q"&amp;INT(MONTH(SalesData[[#This Row],[Date]]/2)+3)</f>
        <v>2024  Q4</v>
      </c>
    </row>
    <row r="1320" spans="1:21"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c r="T1320" t="str">
        <f>TEXT(SalesData[[#This Row],[Date]],"MMM-YYY")</f>
        <v>Apr-2025</v>
      </c>
      <c r="U1320" t="str">
        <f>TEXT(SalesData[[#This Row],[Date]],"YYYY")&amp;"  Q"&amp;INT(MONTH(SalesData[[#This Row],[Date]]/2)+3)</f>
        <v>2025  Q11</v>
      </c>
    </row>
    <row r="1321" spans="1:21"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c r="T1321" t="str">
        <f>TEXT(SalesData[[#This Row],[Date]],"MMM-YYY")</f>
        <v>Sep-2023</v>
      </c>
      <c r="U1321" t="str">
        <f>TEXT(SalesData[[#This Row],[Date]],"YYYY")&amp;"  Q"&amp;INT(MONTH(SalesData[[#This Row],[Date]]/2)+3)</f>
        <v>2023  Q14</v>
      </c>
    </row>
    <row r="1322" spans="1:21"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c r="T1322" t="str">
        <f>TEXT(SalesData[[#This Row],[Date]],"MMM-YYY")</f>
        <v>Mar-2023</v>
      </c>
      <c r="U1322" t="str">
        <f>TEXT(SalesData[[#This Row],[Date]],"YYYY")&amp;"  Q"&amp;INT(MONTH(SalesData[[#This Row],[Date]]/2)+3)</f>
        <v>2023  Q11</v>
      </c>
    </row>
    <row r="1323" spans="1:21"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c r="T1323" t="str">
        <f>TEXT(SalesData[[#This Row],[Date]],"MMM-YYY")</f>
        <v>Dec-2024</v>
      </c>
      <c r="U1323" t="str">
        <f>TEXT(SalesData[[#This Row],[Date]],"YYYY")&amp;"  Q"&amp;INT(MONTH(SalesData[[#This Row],[Date]]/2)+3)</f>
        <v>2024  Q10</v>
      </c>
    </row>
    <row r="1324" spans="1:21"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c r="T1324" t="str">
        <f>TEXT(SalesData[[#This Row],[Date]],"MMM-YYY")</f>
        <v>Nov-2023</v>
      </c>
      <c r="U1324" t="str">
        <f>TEXT(SalesData[[#This Row],[Date]],"YYYY")&amp;"  Q"&amp;INT(MONTH(SalesData[[#This Row],[Date]]/2)+3)</f>
        <v>2023  Q15</v>
      </c>
    </row>
    <row r="1325" spans="1:21"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c r="T1325" t="str">
        <f>TEXT(SalesData[[#This Row],[Date]],"MMM-YYY")</f>
        <v>May-2025</v>
      </c>
      <c r="U1325" t="str">
        <f>TEXT(SalesData[[#This Row],[Date]],"YYYY")&amp;"  Q"&amp;INT(MONTH(SalesData[[#This Row],[Date]]/2)+3)</f>
        <v>2025  Q12</v>
      </c>
    </row>
    <row r="1326" spans="1:21"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c r="T1326" t="str">
        <f>TEXT(SalesData[[#This Row],[Date]],"MMM-YYY")</f>
        <v>Apr-2025</v>
      </c>
      <c r="U1326" t="str">
        <f>TEXT(SalesData[[#This Row],[Date]],"YYYY")&amp;"  Q"&amp;INT(MONTH(SalesData[[#This Row],[Date]]/2)+3)</f>
        <v>2025  Q11</v>
      </c>
    </row>
    <row r="1327" spans="1:21"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c r="T1327" t="str">
        <f>TEXT(SalesData[[#This Row],[Date]],"MMM-YYY")</f>
        <v>Feb-2024</v>
      </c>
      <c r="U1327" t="str">
        <f>TEXT(SalesData[[#This Row],[Date]],"YYYY")&amp;"  Q"&amp;INT(MONTH(SalesData[[#This Row],[Date]]/2)+3)</f>
        <v>2024  Q4</v>
      </c>
    </row>
    <row r="1328" spans="1:21"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c r="T1328" t="str">
        <f>TEXT(SalesData[[#This Row],[Date]],"MMM-YYY")</f>
        <v>May-2025</v>
      </c>
      <c r="U1328" t="str">
        <f>TEXT(SalesData[[#This Row],[Date]],"YYYY")&amp;"  Q"&amp;INT(MONTH(SalesData[[#This Row],[Date]]/2)+3)</f>
        <v>2025  Q12</v>
      </c>
    </row>
    <row r="1329" spans="1:21"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c r="T1329" t="str">
        <f>TEXT(SalesData[[#This Row],[Date]],"MMM-YYY")</f>
        <v>Jan-2023</v>
      </c>
      <c r="U1329" t="str">
        <f>TEXT(SalesData[[#This Row],[Date]],"YYYY")&amp;"  Q"&amp;INT(MONTH(SalesData[[#This Row],[Date]]/2)+3)</f>
        <v>2023  Q10</v>
      </c>
    </row>
    <row r="1330" spans="1:21"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c r="T1330" t="str">
        <f>TEXT(SalesData[[#This Row],[Date]],"MMM-YYY")</f>
        <v>Feb-2024</v>
      </c>
      <c r="U1330" t="str">
        <f>TEXT(SalesData[[#This Row],[Date]],"YYYY")&amp;"  Q"&amp;INT(MONTH(SalesData[[#This Row],[Date]]/2)+3)</f>
        <v>2024  Q4</v>
      </c>
    </row>
    <row r="1331" spans="1:21"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c r="T1331" t="str">
        <f>TEXT(SalesData[[#This Row],[Date]],"MMM-YYY")</f>
        <v>Oct-2023</v>
      </c>
      <c r="U1331" t="str">
        <f>TEXT(SalesData[[#This Row],[Date]],"YYYY")&amp;"  Q"&amp;INT(MONTH(SalesData[[#This Row],[Date]]/2)+3)</f>
        <v>2023  Q14</v>
      </c>
    </row>
    <row r="1332" spans="1:21"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c r="T1332" t="str">
        <f>TEXT(SalesData[[#This Row],[Date]],"MMM-YYY")</f>
        <v>Sep-2024</v>
      </c>
      <c r="U1332" t="str">
        <f>TEXT(SalesData[[#This Row],[Date]],"YYYY")&amp;"  Q"&amp;INT(MONTH(SalesData[[#This Row],[Date]]/2)+3)</f>
        <v>2024  Q8</v>
      </c>
    </row>
    <row r="1333" spans="1:21"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c r="T1333" t="str">
        <f>TEXT(SalesData[[#This Row],[Date]],"MMM-YYY")</f>
        <v>May-2023</v>
      </c>
      <c r="U1333" t="str">
        <f>TEXT(SalesData[[#This Row],[Date]],"YYYY")&amp;"  Q"&amp;INT(MONTH(SalesData[[#This Row],[Date]]/2)+3)</f>
        <v>2023  Q12</v>
      </c>
    </row>
    <row r="1334" spans="1:21"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c r="T1334" t="str">
        <f>TEXT(SalesData[[#This Row],[Date]],"MMM-YYY")</f>
        <v>Dec-2023</v>
      </c>
      <c r="U1334" t="str">
        <f>TEXT(SalesData[[#This Row],[Date]],"YYYY")&amp;"  Q"&amp;INT(MONTH(SalesData[[#This Row],[Date]]/2)+3)</f>
        <v>2023  Q15</v>
      </c>
    </row>
    <row r="1335" spans="1:21"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c r="T1335" t="str">
        <f>TEXT(SalesData[[#This Row],[Date]],"MMM-YYY")</f>
        <v>Mar-2025</v>
      </c>
      <c r="U1335" t="str">
        <f>TEXT(SalesData[[#This Row],[Date]],"YYYY")&amp;"  Q"&amp;INT(MONTH(SalesData[[#This Row],[Date]]/2)+3)</f>
        <v>2025  Q11</v>
      </c>
    </row>
    <row r="1336" spans="1:21"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c r="T1336" t="str">
        <f>TEXT(SalesData[[#This Row],[Date]],"MMM-YYY")</f>
        <v>Mar-2024</v>
      </c>
      <c r="U1336" t="str">
        <f>TEXT(SalesData[[#This Row],[Date]],"YYYY")&amp;"  Q"&amp;INT(MONTH(SalesData[[#This Row],[Date]]/2)+3)</f>
        <v>2024  Q5</v>
      </c>
    </row>
    <row r="1337" spans="1:21"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c r="T1337" t="str">
        <f>TEXT(SalesData[[#This Row],[Date]],"MMM-YYY")</f>
        <v>Jul-2024</v>
      </c>
      <c r="U1337" t="str">
        <f>TEXT(SalesData[[#This Row],[Date]],"YYYY")&amp;"  Q"&amp;INT(MONTH(SalesData[[#This Row],[Date]]/2)+3)</f>
        <v>2024  Q7</v>
      </c>
    </row>
    <row r="1338" spans="1:21"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c r="T1338" t="str">
        <f>TEXT(SalesData[[#This Row],[Date]],"MMM-YYY")</f>
        <v>Jul-2024</v>
      </c>
      <c r="U1338" t="str">
        <f>TEXT(SalesData[[#This Row],[Date]],"YYYY")&amp;"  Q"&amp;INT(MONTH(SalesData[[#This Row],[Date]]/2)+3)</f>
        <v>2024  Q7</v>
      </c>
    </row>
    <row r="1339" spans="1:21"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c r="T1339" t="str">
        <f>TEXT(SalesData[[#This Row],[Date]],"MMM-YYY")</f>
        <v>Jul-2024</v>
      </c>
      <c r="U1339" t="str">
        <f>TEXT(SalesData[[#This Row],[Date]],"YYYY")&amp;"  Q"&amp;INT(MONTH(SalesData[[#This Row],[Date]]/2)+3)</f>
        <v>2024  Q7</v>
      </c>
    </row>
    <row r="1340" spans="1:21"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c r="T1340" t="str">
        <f>TEXT(SalesData[[#This Row],[Date]],"MMM-YYY")</f>
        <v>Mar-2024</v>
      </c>
      <c r="U1340" t="str">
        <f>TEXT(SalesData[[#This Row],[Date]],"YYYY")&amp;"  Q"&amp;INT(MONTH(SalesData[[#This Row],[Date]]/2)+3)</f>
        <v>2024  Q5</v>
      </c>
    </row>
    <row r="1341" spans="1:21"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c r="T1341" t="str">
        <f>TEXT(SalesData[[#This Row],[Date]],"MMM-YYY")</f>
        <v>Dec-2023</v>
      </c>
      <c r="U1341" t="str">
        <f>TEXT(SalesData[[#This Row],[Date]],"YYYY")&amp;"  Q"&amp;INT(MONTH(SalesData[[#This Row],[Date]]/2)+3)</f>
        <v>2023  Q15</v>
      </c>
    </row>
    <row r="1342" spans="1:21"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c r="T1342" t="str">
        <f>TEXT(SalesData[[#This Row],[Date]],"MMM-YYY")</f>
        <v>Dec-2024</v>
      </c>
      <c r="U1342" t="str">
        <f>TEXT(SalesData[[#This Row],[Date]],"YYYY")&amp;"  Q"&amp;INT(MONTH(SalesData[[#This Row],[Date]]/2)+3)</f>
        <v>2024  Q9</v>
      </c>
    </row>
    <row r="1343" spans="1:21"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c r="T1343" t="str">
        <f>TEXT(SalesData[[#This Row],[Date]],"MMM-YYY")</f>
        <v>Sep-2023</v>
      </c>
      <c r="U1343" t="str">
        <f>TEXT(SalesData[[#This Row],[Date]],"YYYY")&amp;"  Q"&amp;INT(MONTH(SalesData[[#This Row],[Date]]/2)+3)</f>
        <v>2023  Q14</v>
      </c>
    </row>
    <row r="1344" spans="1:21"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c r="T1344" t="str">
        <f>TEXT(SalesData[[#This Row],[Date]],"MMM-YYY")</f>
        <v>Jan-2024</v>
      </c>
      <c r="U1344" t="str">
        <f>TEXT(SalesData[[#This Row],[Date]],"YYYY")&amp;"  Q"&amp;INT(MONTH(SalesData[[#This Row],[Date]]/2)+3)</f>
        <v>2024  Q4</v>
      </c>
    </row>
    <row r="1345" spans="1:21"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c r="T1345" t="str">
        <f>TEXT(SalesData[[#This Row],[Date]],"MMM-YYY")</f>
        <v>Aug-2023</v>
      </c>
      <c r="U1345" t="str">
        <f>TEXT(SalesData[[#This Row],[Date]],"YYYY")&amp;"  Q"&amp;INT(MONTH(SalesData[[#This Row],[Date]]/2)+3)</f>
        <v>2023  Q13</v>
      </c>
    </row>
    <row r="1346" spans="1:21"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c r="T1346" t="str">
        <f>TEXT(SalesData[[#This Row],[Date]],"MMM-YYY")</f>
        <v>Feb-2025</v>
      </c>
      <c r="U1346" t="str">
        <f>TEXT(SalesData[[#This Row],[Date]],"YYYY")&amp;"  Q"&amp;INT(MONTH(SalesData[[#This Row],[Date]]/2)+3)</f>
        <v>2025  Q10</v>
      </c>
    </row>
    <row r="1347" spans="1:21"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c r="T1347" t="str">
        <f>TEXT(SalesData[[#This Row],[Date]],"MMM-YYY")</f>
        <v>Jun-2023</v>
      </c>
      <c r="U1347" t="str">
        <f>TEXT(SalesData[[#This Row],[Date]],"YYYY")&amp;"  Q"&amp;INT(MONTH(SalesData[[#This Row],[Date]]/2)+3)</f>
        <v>2023  Q12</v>
      </c>
    </row>
    <row r="1348" spans="1:21"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c r="T1348" t="str">
        <f>TEXT(SalesData[[#This Row],[Date]],"MMM-YYY")</f>
        <v>Feb-2024</v>
      </c>
      <c r="U1348" t="str">
        <f>TEXT(SalesData[[#This Row],[Date]],"YYYY")&amp;"  Q"&amp;INT(MONTH(SalesData[[#This Row],[Date]]/2)+3)</f>
        <v>2024  Q4</v>
      </c>
    </row>
    <row r="1349" spans="1:21"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c r="T1349" t="str">
        <f>TEXT(SalesData[[#This Row],[Date]],"MMM-YYY")</f>
        <v>Mar-2024</v>
      </c>
      <c r="U1349" t="str">
        <f>TEXT(SalesData[[#This Row],[Date]],"YYYY")&amp;"  Q"&amp;INT(MONTH(SalesData[[#This Row],[Date]]/2)+3)</f>
        <v>2024  Q5</v>
      </c>
    </row>
    <row r="1350" spans="1:21"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c r="T1350" t="str">
        <f>TEXT(SalesData[[#This Row],[Date]],"MMM-YYY")</f>
        <v>Feb-2024</v>
      </c>
      <c r="U1350" t="str">
        <f>TEXT(SalesData[[#This Row],[Date]],"YYYY")&amp;"  Q"&amp;INT(MONTH(SalesData[[#This Row],[Date]]/2)+3)</f>
        <v>2024  Q4</v>
      </c>
    </row>
    <row r="1351" spans="1:21"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c r="T1351" t="str">
        <f>TEXT(SalesData[[#This Row],[Date]],"MMM-YYY")</f>
        <v>Mar-2023</v>
      </c>
      <c r="U1351" t="str">
        <f>TEXT(SalesData[[#This Row],[Date]],"YYYY")&amp;"  Q"&amp;INT(MONTH(SalesData[[#This Row],[Date]]/2)+3)</f>
        <v>2023  Q11</v>
      </c>
    </row>
    <row r="1352" spans="1:21"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c r="T1352" t="str">
        <f>TEXT(SalesData[[#This Row],[Date]],"MMM-YYY")</f>
        <v>Aug-2023</v>
      </c>
      <c r="U1352" t="str">
        <f>TEXT(SalesData[[#This Row],[Date]],"YYYY")&amp;"  Q"&amp;INT(MONTH(SalesData[[#This Row],[Date]]/2)+3)</f>
        <v>2023  Q13</v>
      </c>
    </row>
    <row r="1353" spans="1:21"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c r="T1353" t="str">
        <f>TEXT(SalesData[[#This Row],[Date]],"MMM-YYY")</f>
        <v>Sep-2023</v>
      </c>
      <c r="U1353" t="str">
        <f>TEXT(SalesData[[#This Row],[Date]],"YYYY")&amp;"  Q"&amp;INT(MONTH(SalesData[[#This Row],[Date]]/2)+3)</f>
        <v>2023  Q14</v>
      </c>
    </row>
    <row r="1354" spans="1:21"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c r="T1354" t="str">
        <f>TEXT(SalesData[[#This Row],[Date]],"MMM-YYY")</f>
        <v>Jan-2024</v>
      </c>
      <c r="U1354" t="str">
        <f>TEXT(SalesData[[#This Row],[Date]],"YYYY")&amp;"  Q"&amp;INT(MONTH(SalesData[[#This Row],[Date]]/2)+3)</f>
        <v>2024  Q4</v>
      </c>
    </row>
    <row r="1355" spans="1:21"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c r="T1355" t="str">
        <f>TEXT(SalesData[[#This Row],[Date]],"MMM-YYY")</f>
        <v>Mar-2024</v>
      </c>
      <c r="U1355" t="str">
        <f>TEXT(SalesData[[#This Row],[Date]],"YYYY")&amp;"  Q"&amp;INT(MONTH(SalesData[[#This Row],[Date]]/2)+3)</f>
        <v>2024  Q5</v>
      </c>
    </row>
    <row r="1356" spans="1:21"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c r="T1356" t="str">
        <f>TEXT(SalesData[[#This Row],[Date]],"MMM-YYY")</f>
        <v>Aug-2024</v>
      </c>
      <c r="U1356" t="str">
        <f>TEXT(SalesData[[#This Row],[Date]],"YYYY")&amp;"  Q"&amp;INT(MONTH(SalesData[[#This Row],[Date]]/2)+3)</f>
        <v>2024  Q7</v>
      </c>
    </row>
    <row r="1357" spans="1:21"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c r="T1357" t="str">
        <f>TEXT(SalesData[[#This Row],[Date]],"MMM-YYY")</f>
        <v>May-2025</v>
      </c>
      <c r="U1357" t="str">
        <f>TEXT(SalesData[[#This Row],[Date]],"YYYY")&amp;"  Q"&amp;INT(MONTH(SalesData[[#This Row],[Date]]/2)+3)</f>
        <v>2025  Q12</v>
      </c>
    </row>
    <row r="1358" spans="1:21"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c r="T1358" t="str">
        <f>TEXT(SalesData[[#This Row],[Date]],"MMM-YYY")</f>
        <v>Feb-2023</v>
      </c>
      <c r="U1358" t="str">
        <f>TEXT(SalesData[[#This Row],[Date]],"YYYY")&amp;"  Q"&amp;INT(MONTH(SalesData[[#This Row],[Date]]/2)+3)</f>
        <v>2023  Q10</v>
      </c>
    </row>
    <row r="1359" spans="1:21"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c r="T1359" t="str">
        <f>TEXT(SalesData[[#This Row],[Date]],"MMM-YYY")</f>
        <v>May-2023</v>
      </c>
      <c r="U1359" t="str">
        <f>TEXT(SalesData[[#This Row],[Date]],"YYYY")&amp;"  Q"&amp;INT(MONTH(SalesData[[#This Row],[Date]]/2)+3)</f>
        <v>2023  Q12</v>
      </c>
    </row>
    <row r="1360" spans="1:21"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c r="T1360" t="str">
        <f>TEXT(SalesData[[#This Row],[Date]],"MMM-YYY")</f>
        <v>Jul-2024</v>
      </c>
      <c r="U1360" t="str">
        <f>TEXT(SalesData[[#This Row],[Date]],"YYYY")&amp;"  Q"&amp;INT(MONTH(SalesData[[#This Row],[Date]]/2)+3)</f>
        <v>2024  Q7</v>
      </c>
    </row>
    <row r="1361" spans="1:21"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c r="T1361" t="str">
        <f>TEXT(SalesData[[#This Row],[Date]],"MMM-YYY")</f>
        <v>Dec-2024</v>
      </c>
      <c r="U1361" t="str">
        <f>TEXT(SalesData[[#This Row],[Date]],"YYYY")&amp;"  Q"&amp;INT(MONTH(SalesData[[#This Row],[Date]]/2)+3)</f>
        <v>2024  Q9</v>
      </c>
    </row>
    <row r="1362" spans="1:21"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c r="T1362" t="str">
        <f>TEXT(SalesData[[#This Row],[Date]],"MMM-YYY")</f>
        <v>Sep-2024</v>
      </c>
      <c r="U1362" t="str">
        <f>TEXT(SalesData[[#This Row],[Date]],"YYYY")&amp;"  Q"&amp;INT(MONTH(SalesData[[#This Row],[Date]]/2)+3)</f>
        <v>2024  Q8</v>
      </c>
    </row>
    <row r="1363" spans="1:21"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c r="T1363" t="str">
        <f>TEXT(SalesData[[#This Row],[Date]],"MMM-YYY")</f>
        <v>Oct-2024</v>
      </c>
      <c r="U1363" t="str">
        <f>TEXT(SalesData[[#This Row],[Date]],"YYYY")&amp;"  Q"&amp;INT(MONTH(SalesData[[#This Row],[Date]]/2)+3)</f>
        <v>2024  Q8</v>
      </c>
    </row>
    <row r="1364" spans="1:21"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c r="T1364" t="str">
        <f>TEXT(SalesData[[#This Row],[Date]],"MMM-YYY")</f>
        <v>Jan-2025</v>
      </c>
      <c r="U1364" t="str">
        <f>TEXT(SalesData[[#This Row],[Date]],"YYYY")&amp;"  Q"&amp;INT(MONTH(SalesData[[#This Row],[Date]]/2)+3)</f>
        <v>2025  Q10</v>
      </c>
    </row>
    <row r="1365" spans="1:21"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c r="T1365" t="str">
        <f>TEXT(SalesData[[#This Row],[Date]],"MMM-YYY")</f>
        <v>Nov-2023</v>
      </c>
      <c r="U1365" t="str">
        <f>TEXT(SalesData[[#This Row],[Date]],"YYYY")&amp;"  Q"&amp;INT(MONTH(SalesData[[#This Row],[Date]]/2)+3)</f>
        <v>2023  Q15</v>
      </c>
    </row>
    <row r="1366" spans="1:21"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c r="T1366" t="str">
        <f>TEXT(SalesData[[#This Row],[Date]],"MMM-YYY")</f>
        <v>Apr-2024</v>
      </c>
      <c r="U1366" t="str">
        <f>TEXT(SalesData[[#This Row],[Date]],"YYYY")&amp;"  Q"&amp;INT(MONTH(SalesData[[#This Row],[Date]]/2)+3)</f>
        <v>2024  Q5</v>
      </c>
    </row>
    <row r="1367" spans="1:21"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c r="T1367" t="str">
        <f>TEXT(SalesData[[#This Row],[Date]],"MMM-YYY")</f>
        <v>Mar-2024</v>
      </c>
      <c r="U1367" t="str">
        <f>TEXT(SalesData[[#This Row],[Date]],"YYYY")&amp;"  Q"&amp;INT(MONTH(SalesData[[#This Row],[Date]]/2)+3)</f>
        <v>2024  Q5</v>
      </c>
    </row>
    <row r="1368" spans="1:21"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c r="T1368" t="str">
        <f>TEXT(SalesData[[#This Row],[Date]],"MMM-YYY")</f>
        <v>Nov-2024</v>
      </c>
      <c r="U1368" t="str">
        <f>TEXT(SalesData[[#This Row],[Date]],"YYYY")&amp;"  Q"&amp;INT(MONTH(SalesData[[#This Row],[Date]]/2)+3)</f>
        <v>2024  Q9</v>
      </c>
    </row>
    <row r="1369" spans="1:21"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c r="T1369" t="str">
        <f>TEXT(SalesData[[#This Row],[Date]],"MMM-YYY")</f>
        <v>Jan-2025</v>
      </c>
      <c r="U1369" t="str">
        <f>TEXT(SalesData[[#This Row],[Date]],"YYYY")&amp;"  Q"&amp;INT(MONTH(SalesData[[#This Row],[Date]]/2)+3)</f>
        <v>2025  Q10</v>
      </c>
    </row>
    <row r="1370" spans="1:21"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c r="T1370" t="str">
        <f>TEXT(SalesData[[#This Row],[Date]],"MMM-YYY")</f>
        <v>Apr-2023</v>
      </c>
      <c r="U1370" t="str">
        <f>TEXT(SalesData[[#This Row],[Date]],"YYYY")&amp;"  Q"&amp;INT(MONTH(SalesData[[#This Row],[Date]]/2)+3)</f>
        <v>2023  Q11</v>
      </c>
    </row>
    <row r="1371" spans="1:21"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c r="T1371" t="str">
        <f>TEXT(SalesData[[#This Row],[Date]],"MMM-YYY")</f>
        <v>Feb-2024</v>
      </c>
      <c r="U1371" t="str">
        <f>TEXT(SalesData[[#This Row],[Date]],"YYYY")&amp;"  Q"&amp;INT(MONTH(SalesData[[#This Row],[Date]]/2)+3)</f>
        <v>2024  Q4</v>
      </c>
    </row>
    <row r="1372" spans="1:21"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c r="T1372" t="str">
        <f>TEXT(SalesData[[#This Row],[Date]],"MMM-YYY")</f>
        <v>Jun-2023</v>
      </c>
      <c r="U1372" t="str">
        <f>TEXT(SalesData[[#This Row],[Date]],"YYYY")&amp;"  Q"&amp;INT(MONTH(SalesData[[#This Row],[Date]]/2)+3)</f>
        <v>2023  Q12</v>
      </c>
    </row>
    <row r="1373" spans="1:21"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c r="T1373" t="str">
        <f>TEXT(SalesData[[#This Row],[Date]],"MMM-YYY")</f>
        <v>Aug-2023</v>
      </c>
      <c r="U1373" t="str">
        <f>TEXT(SalesData[[#This Row],[Date]],"YYYY")&amp;"  Q"&amp;INT(MONTH(SalesData[[#This Row],[Date]]/2)+3)</f>
        <v>2023  Q13</v>
      </c>
    </row>
    <row r="1374" spans="1:21"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c r="T1374" t="str">
        <f>TEXT(SalesData[[#This Row],[Date]],"MMM-YYY")</f>
        <v>Dec-2024</v>
      </c>
      <c r="U1374" t="str">
        <f>TEXT(SalesData[[#This Row],[Date]],"YYYY")&amp;"  Q"&amp;INT(MONTH(SalesData[[#This Row],[Date]]/2)+3)</f>
        <v>2024  Q9</v>
      </c>
    </row>
    <row r="1375" spans="1:21"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c r="T1375" t="str">
        <f>TEXT(SalesData[[#This Row],[Date]],"MMM-YYY")</f>
        <v>Dec-2023</v>
      </c>
      <c r="U1375" t="str">
        <f>TEXT(SalesData[[#This Row],[Date]],"YYYY")&amp;"  Q"&amp;INT(MONTH(SalesData[[#This Row],[Date]]/2)+3)</f>
        <v>2023  Q15</v>
      </c>
    </row>
    <row r="1376" spans="1:21"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c r="T1376" t="str">
        <f>TEXT(SalesData[[#This Row],[Date]],"MMM-YYY")</f>
        <v>May-2023</v>
      </c>
      <c r="U1376" t="str">
        <f>TEXT(SalesData[[#This Row],[Date]],"YYYY")&amp;"  Q"&amp;INT(MONTH(SalesData[[#This Row],[Date]]/2)+3)</f>
        <v>2023  Q12</v>
      </c>
    </row>
    <row r="1377" spans="1:21"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c r="T1377" t="str">
        <f>TEXT(SalesData[[#This Row],[Date]],"MMM-YYY")</f>
        <v>Apr-2025</v>
      </c>
      <c r="U1377" t="str">
        <f>TEXT(SalesData[[#This Row],[Date]],"YYYY")&amp;"  Q"&amp;INT(MONTH(SalesData[[#This Row],[Date]]/2)+3)</f>
        <v>2025  Q11</v>
      </c>
    </row>
    <row r="1378" spans="1:21"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c r="T1378" t="str">
        <f>TEXT(SalesData[[#This Row],[Date]],"MMM-YYY")</f>
        <v>Apr-2023</v>
      </c>
      <c r="U1378" t="str">
        <f>TEXT(SalesData[[#This Row],[Date]],"YYYY")&amp;"  Q"&amp;INT(MONTH(SalesData[[#This Row],[Date]]/2)+3)</f>
        <v>2023  Q11</v>
      </c>
    </row>
    <row r="1379" spans="1:21"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c r="T1379" t="str">
        <f>TEXT(SalesData[[#This Row],[Date]],"MMM-YYY")</f>
        <v>Jan-2023</v>
      </c>
      <c r="U1379" t="str">
        <f>TEXT(SalesData[[#This Row],[Date]],"YYYY")&amp;"  Q"&amp;INT(MONTH(SalesData[[#This Row],[Date]]/2)+3)</f>
        <v>2023  Q10</v>
      </c>
    </row>
    <row r="1380" spans="1:21"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c r="T1380" t="str">
        <f>TEXT(SalesData[[#This Row],[Date]],"MMM-YYY")</f>
        <v>May-2025</v>
      </c>
      <c r="U1380" t="str">
        <f>TEXT(SalesData[[#This Row],[Date]],"YYYY")&amp;"  Q"&amp;INT(MONTH(SalesData[[#This Row],[Date]]/2)+3)</f>
        <v>2025  Q12</v>
      </c>
    </row>
    <row r="1381" spans="1:21"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c r="T1381" t="str">
        <f>TEXT(SalesData[[#This Row],[Date]],"MMM-YYY")</f>
        <v>Dec-2024</v>
      </c>
      <c r="U1381" t="str">
        <f>TEXT(SalesData[[#This Row],[Date]],"YYYY")&amp;"  Q"&amp;INT(MONTH(SalesData[[#This Row],[Date]]/2)+3)</f>
        <v>2024  Q9</v>
      </c>
    </row>
    <row r="1382" spans="1:21"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c r="T1382" t="str">
        <f>TEXT(SalesData[[#This Row],[Date]],"MMM-YYY")</f>
        <v>Aug-2023</v>
      </c>
      <c r="U1382" t="str">
        <f>TEXT(SalesData[[#This Row],[Date]],"YYYY")&amp;"  Q"&amp;INT(MONTH(SalesData[[#This Row],[Date]]/2)+3)</f>
        <v>2023  Q13</v>
      </c>
    </row>
    <row r="1383" spans="1:21"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c r="T1383" t="str">
        <f>TEXT(SalesData[[#This Row],[Date]],"MMM-YYY")</f>
        <v>Mar-2025</v>
      </c>
      <c r="U1383" t="str">
        <f>TEXT(SalesData[[#This Row],[Date]],"YYYY")&amp;"  Q"&amp;INT(MONTH(SalesData[[#This Row],[Date]]/2)+3)</f>
        <v>2025  Q11</v>
      </c>
    </row>
    <row r="1384" spans="1:21"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c r="T1384" t="str">
        <f>TEXT(SalesData[[#This Row],[Date]],"MMM-YYY")</f>
        <v>Jan-2024</v>
      </c>
      <c r="U1384" t="str">
        <f>TEXT(SalesData[[#This Row],[Date]],"YYYY")&amp;"  Q"&amp;INT(MONTH(SalesData[[#This Row],[Date]]/2)+3)</f>
        <v>2024  Q4</v>
      </c>
    </row>
    <row r="1385" spans="1:21"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c r="T1385" t="str">
        <f>TEXT(SalesData[[#This Row],[Date]],"MMM-YYY")</f>
        <v>May-2024</v>
      </c>
      <c r="U1385" t="str">
        <f>TEXT(SalesData[[#This Row],[Date]],"YYYY")&amp;"  Q"&amp;INT(MONTH(SalesData[[#This Row],[Date]]/2)+3)</f>
        <v>2024  Q6</v>
      </c>
    </row>
    <row r="1386" spans="1:21"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c r="T1386" t="str">
        <f>TEXT(SalesData[[#This Row],[Date]],"MMM-YYY")</f>
        <v>Mar-2025</v>
      </c>
      <c r="U1386" t="str">
        <f>TEXT(SalesData[[#This Row],[Date]],"YYYY")&amp;"  Q"&amp;INT(MONTH(SalesData[[#This Row],[Date]]/2)+3)</f>
        <v>2025  Q11</v>
      </c>
    </row>
    <row r="1387" spans="1:21"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c r="T1387" t="str">
        <f>TEXT(SalesData[[#This Row],[Date]],"MMM-YYY")</f>
        <v>Mar-2025</v>
      </c>
      <c r="U1387" t="str">
        <f>TEXT(SalesData[[#This Row],[Date]],"YYYY")&amp;"  Q"&amp;INT(MONTH(SalesData[[#This Row],[Date]]/2)+3)</f>
        <v>2025  Q11</v>
      </c>
    </row>
    <row r="1388" spans="1:21"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c r="T1388" t="str">
        <f>TEXT(SalesData[[#This Row],[Date]],"MMM-YYY")</f>
        <v>Aug-2024</v>
      </c>
      <c r="U1388" t="str">
        <f>TEXT(SalesData[[#This Row],[Date]],"YYYY")&amp;"  Q"&amp;INT(MONTH(SalesData[[#This Row],[Date]]/2)+3)</f>
        <v>2024  Q7</v>
      </c>
    </row>
    <row r="1389" spans="1:21"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c r="T1389" t="str">
        <f>TEXT(SalesData[[#This Row],[Date]],"MMM-YYY")</f>
        <v>Jun-2024</v>
      </c>
      <c r="U1389" t="str">
        <f>TEXT(SalesData[[#This Row],[Date]],"YYYY")&amp;"  Q"&amp;INT(MONTH(SalesData[[#This Row],[Date]]/2)+3)</f>
        <v>2024  Q6</v>
      </c>
    </row>
    <row r="1390" spans="1:21"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c r="T1390" t="str">
        <f>TEXT(SalesData[[#This Row],[Date]],"MMM-YYY")</f>
        <v>Mar-2023</v>
      </c>
      <c r="U1390" t="str">
        <f>TEXT(SalesData[[#This Row],[Date]],"YYYY")&amp;"  Q"&amp;INT(MONTH(SalesData[[#This Row],[Date]]/2)+3)</f>
        <v>2023  Q11</v>
      </c>
    </row>
    <row r="1391" spans="1:21"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c r="T1391" t="str">
        <f>TEXT(SalesData[[#This Row],[Date]],"MMM-YYY")</f>
        <v>May-2024</v>
      </c>
      <c r="U1391" t="str">
        <f>TEXT(SalesData[[#This Row],[Date]],"YYYY")&amp;"  Q"&amp;INT(MONTH(SalesData[[#This Row],[Date]]/2)+3)</f>
        <v>2024  Q6</v>
      </c>
    </row>
    <row r="1392" spans="1:21"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c r="T1392" t="str">
        <f>TEXT(SalesData[[#This Row],[Date]],"MMM-YYY")</f>
        <v>Mar-2023</v>
      </c>
      <c r="U1392" t="str">
        <f>TEXT(SalesData[[#This Row],[Date]],"YYYY")&amp;"  Q"&amp;INT(MONTH(SalesData[[#This Row],[Date]]/2)+3)</f>
        <v>2023  Q10</v>
      </c>
    </row>
    <row r="1393" spans="1:21"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c r="T1393" t="str">
        <f>TEXT(SalesData[[#This Row],[Date]],"MMM-YYY")</f>
        <v>Mar-2023</v>
      </c>
      <c r="U1393" t="str">
        <f>TEXT(SalesData[[#This Row],[Date]],"YYYY")&amp;"  Q"&amp;INT(MONTH(SalesData[[#This Row],[Date]]/2)+3)</f>
        <v>2023  Q11</v>
      </c>
    </row>
    <row r="1394" spans="1:21"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c r="T1394" t="str">
        <f>TEXT(SalesData[[#This Row],[Date]],"MMM-YYY")</f>
        <v>Apr-2025</v>
      </c>
      <c r="U1394" t="str">
        <f>TEXT(SalesData[[#This Row],[Date]],"YYYY")&amp;"  Q"&amp;INT(MONTH(SalesData[[#This Row],[Date]]/2)+3)</f>
        <v>2025  Q11</v>
      </c>
    </row>
    <row r="1395" spans="1:21"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c r="T1395" t="str">
        <f>TEXT(SalesData[[#This Row],[Date]],"MMM-YYY")</f>
        <v>Jun-2024</v>
      </c>
      <c r="U1395" t="str">
        <f>TEXT(SalesData[[#This Row],[Date]],"YYYY")&amp;"  Q"&amp;INT(MONTH(SalesData[[#This Row],[Date]]/2)+3)</f>
        <v>2024  Q6</v>
      </c>
    </row>
    <row r="1396" spans="1:21"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c r="T1396" t="str">
        <f>TEXT(SalesData[[#This Row],[Date]],"MMM-YYY")</f>
        <v>Sep-2024</v>
      </c>
      <c r="U1396" t="str">
        <f>TEXT(SalesData[[#This Row],[Date]],"YYYY")&amp;"  Q"&amp;INT(MONTH(SalesData[[#This Row],[Date]]/2)+3)</f>
        <v>2024  Q8</v>
      </c>
    </row>
    <row r="1397" spans="1:21"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c r="T1397" t="str">
        <f>TEXT(SalesData[[#This Row],[Date]],"MMM-YYY")</f>
        <v>Sep-2024</v>
      </c>
      <c r="U1397" t="str">
        <f>TEXT(SalesData[[#This Row],[Date]],"YYYY")&amp;"  Q"&amp;INT(MONTH(SalesData[[#This Row],[Date]]/2)+3)</f>
        <v>2024  Q8</v>
      </c>
    </row>
    <row r="1398" spans="1:21"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c r="T1398" t="str">
        <f>TEXT(SalesData[[#This Row],[Date]],"MMM-YYY")</f>
        <v>Jan-2025</v>
      </c>
      <c r="U1398" t="str">
        <f>TEXT(SalesData[[#This Row],[Date]],"YYYY")&amp;"  Q"&amp;INT(MONTH(SalesData[[#This Row],[Date]]/2)+3)</f>
        <v>2025  Q10</v>
      </c>
    </row>
    <row r="1399" spans="1:21"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c r="T1399" t="str">
        <f>TEXT(SalesData[[#This Row],[Date]],"MMM-YYY")</f>
        <v>Jan-2023</v>
      </c>
      <c r="U1399" t="str">
        <f>TEXT(SalesData[[#This Row],[Date]],"YYYY")&amp;"  Q"&amp;INT(MONTH(SalesData[[#This Row],[Date]]/2)+3)</f>
        <v>2023  Q10</v>
      </c>
    </row>
    <row r="1400" spans="1:21"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c r="T1400" t="str">
        <f>TEXT(SalesData[[#This Row],[Date]],"MMM-YYY")</f>
        <v>May-2023</v>
      </c>
      <c r="U1400" t="str">
        <f>TEXT(SalesData[[#This Row],[Date]],"YYYY")&amp;"  Q"&amp;INT(MONTH(SalesData[[#This Row],[Date]]/2)+3)</f>
        <v>2023  Q11</v>
      </c>
    </row>
    <row r="1401" spans="1:21"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c r="T1401" t="str">
        <f>TEXT(SalesData[[#This Row],[Date]],"MMM-YYY")</f>
        <v>Jul-2023</v>
      </c>
      <c r="U1401" t="str">
        <f>TEXT(SalesData[[#This Row],[Date]],"YYYY")&amp;"  Q"&amp;INT(MONTH(SalesData[[#This Row],[Date]]/2)+3)</f>
        <v>2023  Q13</v>
      </c>
    </row>
    <row r="1402" spans="1:21"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c r="T1402" t="str">
        <f>TEXT(SalesData[[#This Row],[Date]],"MMM-YYY")</f>
        <v>Feb-2025</v>
      </c>
      <c r="U1402" t="str">
        <f>TEXT(SalesData[[#This Row],[Date]],"YYYY")&amp;"  Q"&amp;INT(MONTH(SalesData[[#This Row],[Date]]/2)+3)</f>
        <v>2025  Q10</v>
      </c>
    </row>
    <row r="1403" spans="1:21"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c r="T1403" t="str">
        <f>TEXT(SalesData[[#This Row],[Date]],"MMM-YYY")</f>
        <v>Sep-2024</v>
      </c>
      <c r="U1403" t="str">
        <f>TEXT(SalesData[[#This Row],[Date]],"YYYY")&amp;"  Q"&amp;INT(MONTH(SalesData[[#This Row],[Date]]/2)+3)</f>
        <v>2024  Q8</v>
      </c>
    </row>
    <row r="1404" spans="1:21"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c r="T1404" t="str">
        <f>TEXT(SalesData[[#This Row],[Date]],"MMM-YYY")</f>
        <v>Jun-2025</v>
      </c>
      <c r="U1404" t="str">
        <f>TEXT(SalesData[[#This Row],[Date]],"YYYY")&amp;"  Q"&amp;INT(MONTH(SalesData[[#This Row],[Date]]/2)+3)</f>
        <v>2025  Q12</v>
      </c>
    </row>
    <row r="1405" spans="1:21"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c r="T1405" t="str">
        <f>TEXT(SalesData[[#This Row],[Date]],"MMM-YYY")</f>
        <v>Jan-2025</v>
      </c>
      <c r="U1405" t="str">
        <f>TEXT(SalesData[[#This Row],[Date]],"YYYY")&amp;"  Q"&amp;INT(MONTH(SalesData[[#This Row],[Date]]/2)+3)</f>
        <v>2025  Q10</v>
      </c>
    </row>
    <row r="1406" spans="1:21"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c r="T1406" t="str">
        <f>TEXT(SalesData[[#This Row],[Date]],"MMM-YYY")</f>
        <v>Feb-2025</v>
      </c>
      <c r="U1406" t="str">
        <f>TEXT(SalesData[[#This Row],[Date]],"YYYY")&amp;"  Q"&amp;INT(MONTH(SalesData[[#This Row],[Date]]/2)+3)</f>
        <v>2025  Q10</v>
      </c>
    </row>
    <row r="1407" spans="1:21"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c r="T1407" t="str">
        <f>TEXT(SalesData[[#This Row],[Date]],"MMM-YYY")</f>
        <v>Nov-2023</v>
      </c>
      <c r="U1407" t="str">
        <f>TEXT(SalesData[[#This Row],[Date]],"YYYY")&amp;"  Q"&amp;INT(MONTH(SalesData[[#This Row],[Date]]/2)+3)</f>
        <v>2023  Q15</v>
      </c>
    </row>
    <row r="1408" spans="1:21"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c r="T1408" t="str">
        <f>TEXT(SalesData[[#This Row],[Date]],"MMM-YYY")</f>
        <v>May-2024</v>
      </c>
      <c r="U1408" t="str">
        <f>TEXT(SalesData[[#This Row],[Date]],"YYYY")&amp;"  Q"&amp;INT(MONTH(SalesData[[#This Row],[Date]]/2)+3)</f>
        <v>2024  Q6</v>
      </c>
    </row>
    <row r="1409" spans="1:21"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c r="T1409" t="str">
        <f>TEXT(SalesData[[#This Row],[Date]],"MMM-YYY")</f>
        <v>Sep-2023</v>
      </c>
      <c r="U1409" t="str">
        <f>TEXT(SalesData[[#This Row],[Date]],"YYYY")&amp;"  Q"&amp;INT(MONTH(SalesData[[#This Row],[Date]]/2)+3)</f>
        <v>2023  Q14</v>
      </c>
    </row>
    <row r="1410" spans="1:21"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c r="T1410" t="str">
        <f>TEXT(SalesData[[#This Row],[Date]],"MMM-YYY")</f>
        <v>Apr-2025</v>
      </c>
      <c r="U1410" t="str">
        <f>TEXT(SalesData[[#This Row],[Date]],"YYYY")&amp;"  Q"&amp;INT(MONTH(SalesData[[#This Row],[Date]]/2)+3)</f>
        <v>2025  Q11</v>
      </c>
    </row>
    <row r="1411" spans="1:21"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c r="T1411" t="str">
        <f>TEXT(SalesData[[#This Row],[Date]],"MMM-YYY")</f>
        <v>Sep-2023</v>
      </c>
      <c r="U1411" t="str">
        <f>TEXT(SalesData[[#This Row],[Date]],"YYYY")&amp;"  Q"&amp;INT(MONTH(SalesData[[#This Row],[Date]]/2)+3)</f>
        <v>2023  Q14</v>
      </c>
    </row>
    <row r="1412" spans="1:21"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c r="T1412" t="str">
        <f>TEXT(SalesData[[#This Row],[Date]],"MMM-YYY")</f>
        <v>Jun-2024</v>
      </c>
      <c r="U1412" t="str">
        <f>TEXT(SalesData[[#This Row],[Date]],"YYYY")&amp;"  Q"&amp;INT(MONTH(SalesData[[#This Row],[Date]]/2)+3)</f>
        <v>2024  Q6</v>
      </c>
    </row>
    <row r="1413" spans="1:21"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c r="T1413" t="str">
        <f>TEXT(SalesData[[#This Row],[Date]],"MMM-YYY")</f>
        <v>Apr-2023</v>
      </c>
      <c r="U1413" t="str">
        <f>TEXT(SalesData[[#This Row],[Date]],"YYYY")&amp;"  Q"&amp;INT(MONTH(SalesData[[#This Row],[Date]]/2)+3)</f>
        <v>2023  Q11</v>
      </c>
    </row>
    <row r="1414" spans="1:21"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c r="T1414" t="str">
        <f>TEXT(SalesData[[#This Row],[Date]],"MMM-YYY")</f>
        <v>May-2023</v>
      </c>
      <c r="U1414" t="str">
        <f>TEXT(SalesData[[#This Row],[Date]],"YYYY")&amp;"  Q"&amp;INT(MONTH(SalesData[[#This Row],[Date]]/2)+3)</f>
        <v>2023  Q12</v>
      </c>
    </row>
    <row r="1415" spans="1:21"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c r="T1415" t="str">
        <f>TEXT(SalesData[[#This Row],[Date]],"MMM-YYY")</f>
        <v>May-2025</v>
      </c>
      <c r="U1415" t="str">
        <f>TEXT(SalesData[[#This Row],[Date]],"YYYY")&amp;"  Q"&amp;INT(MONTH(SalesData[[#This Row],[Date]]/2)+3)</f>
        <v>2025  Q12</v>
      </c>
    </row>
    <row r="1416" spans="1:21"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c r="T1416" t="str">
        <f>TEXT(SalesData[[#This Row],[Date]],"MMM-YYY")</f>
        <v>Mar-2025</v>
      </c>
      <c r="U1416" t="str">
        <f>TEXT(SalesData[[#This Row],[Date]],"YYYY")&amp;"  Q"&amp;INT(MONTH(SalesData[[#This Row],[Date]]/2)+3)</f>
        <v>2025  Q11</v>
      </c>
    </row>
    <row r="1417" spans="1:21"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c r="T1417" t="str">
        <f>TEXT(SalesData[[#This Row],[Date]],"MMM-YYY")</f>
        <v>Jun-2024</v>
      </c>
      <c r="U1417" t="str">
        <f>TEXT(SalesData[[#This Row],[Date]],"YYYY")&amp;"  Q"&amp;INT(MONTH(SalesData[[#This Row],[Date]]/2)+3)</f>
        <v>2024  Q6</v>
      </c>
    </row>
    <row r="1418" spans="1:21"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c r="T1418" t="str">
        <f>TEXT(SalesData[[#This Row],[Date]],"MMM-YYY")</f>
        <v>Jun-2025</v>
      </c>
      <c r="U1418" t="str">
        <f>TEXT(SalesData[[#This Row],[Date]],"YYYY")&amp;"  Q"&amp;INT(MONTH(SalesData[[#This Row],[Date]]/2)+3)</f>
        <v>2025  Q12</v>
      </c>
    </row>
    <row r="1419" spans="1:21"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c r="T1419" t="str">
        <f>TEXT(SalesData[[#This Row],[Date]],"MMM-YYY")</f>
        <v>Apr-2024</v>
      </c>
      <c r="U1419" t="str">
        <f>TEXT(SalesData[[#This Row],[Date]],"YYYY")&amp;"  Q"&amp;INT(MONTH(SalesData[[#This Row],[Date]]/2)+3)</f>
        <v>2024  Q5</v>
      </c>
    </row>
    <row r="1420" spans="1:21"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c r="T1420" t="str">
        <f>TEXT(SalesData[[#This Row],[Date]],"MMM-YYY")</f>
        <v>Jun-2024</v>
      </c>
      <c r="U1420" t="str">
        <f>TEXT(SalesData[[#This Row],[Date]],"YYYY")&amp;"  Q"&amp;INT(MONTH(SalesData[[#This Row],[Date]]/2)+3)</f>
        <v>2024  Q6</v>
      </c>
    </row>
    <row r="1421" spans="1:21"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c r="T1421" t="str">
        <f>TEXT(SalesData[[#This Row],[Date]],"MMM-YYY")</f>
        <v>Mar-2023</v>
      </c>
      <c r="U1421" t="str">
        <f>TEXT(SalesData[[#This Row],[Date]],"YYYY")&amp;"  Q"&amp;INT(MONTH(SalesData[[#This Row],[Date]]/2)+3)</f>
        <v>2023  Q11</v>
      </c>
    </row>
    <row r="1422" spans="1:21"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c r="T1422" t="str">
        <f>TEXT(SalesData[[#This Row],[Date]],"MMM-YYY")</f>
        <v>Mar-2025</v>
      </c>
      <c r="U1422" t="str">
        <f>TEXT(SalesData[[#This Row],[Date]],"YYYY")&amp;"  Q"&amp;INT(MONTH(SalesData[[#This Row],[Date]]/2)+3)</f>
        <v>2025  Q11</v>
      </c>
    </row>
    <row r="1423" spans="1:21"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c r="T1423" t="str">
        <f>TEXT(SalesData[[#This Row],[Date]],"MMM-YYY")</f>
        <v>Aug-2023</v>
      </c>
      <c r="U1423" t="str">
        <f>TEXT(SalesData[[#This Row],[Date]],"YYYY")&amp;"  Q"&amp;INT(MONTH(SalesData[[#This Row],[Date]]/2)+3)</f>
        <v>2023  Q13</v>
      </c>
    </row>
    <row r="1424" spans="1:21"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c r="T1424" t="str">
        <f>TEXT(SalesData[[#This Row],[Date]],"MMM-YYY")</f>
        <v>Apr-2024</v>
      </c>
      <c r="U1424" t="str">
        <f>TEXT(SalesData[[#This Row],[Date]],"YYYY")&amp;"  Q"&amp;INT(MONTH(SalesData[[#This Row],[Date]]/2)+3)</f>
        <v>2024  Q5</v>
      </c>
    </row>
    <row r="1425" spans="1:21"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c r="T1425" t="str">
        <f>TEXT(SalesData[[#This Row],[Date]],"MMM-YYY")</f>
        <v>May-2025</v>
      </c>
      <c r="U1425" t="str">
        <f>TEXT(SalesData[[#This Row],[Date]],"YYYY")&amp;"  Q"&amp;INT(MONTH(SalesData[[#This Row],[Date]]/2)+3)</f>
        <v>2025  Q12</v>
      </c>
    </row>
    <row r="1426" spans="1:21"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c r="T1426" t="str">
        <f>TEXT(SalesData[[#This Row],[Date]],"MMM-YYY")</f>
        <v>Dec-2023</v>
      </c>
      <c r="U1426" t="str">
        <f>TEXT(SalesData[[#This Row],[Date]],"YYYY")&amp;"  Q"&amp;INT(MONTH(SalesData[[#This Row],[Date]]/2)+3)</f>
        <v>2023  Q15</v>
      </c>
    </row>
    <row r="1427" spans="1:21"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c r="T1427" t="str">
        <f>TEXT(SalesData[[#This Row],[Date]],"MMM-YYY")</f>
        <v>Jan-2023</v>
      </c>
      <c r="U1427" t="str">
        <f>TEXT(SalesData[[#This Row],[Date]],"YYYY")&amp;"  Q"&amp;INT(MONTH(SalesData[[#This Row],[Date]]/2)+3)</f>
        <v>2023  Q10</v>
      </c>
    </row>
    <row r="1428" spans="1:21"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c r="T1428" t="str">
        <f>TEXT(SalesData[[#This Row],[Date]],"MMM-YYY")</f>
        <v>May-2023</v>
      </c>
      <c r="U1428" t="str">
        <f>TEXT(SalesData[[#This Row],[Date]],"YYYY")&amp;"  Q"&amp;INT(MONTH(SalesData[[#This Row],[Date]]/2)+3)</f>
        <v>2023  Q12</v>
      </c>
    </row>
    <row r="1429" spans="1:21"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c r="T1429" t="str">
        <f>TEXT(SalesData[[#This Row],[Date]],"MMM-YYY")</f>
        <v>Jun-2024</v>
      </c>
      <c r="U1429" t="str">
        <f>TEXT(SalesData[[#This Row],[Date]],"YYYY")&amp;"  Q"&amp;INT(MONTH(SalesData[[#This Row],[Date]]/2)+3)</f>
        <v>2024  Q6</v>
      </c>
    </row>
    <row r="1430" spans="1:21"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c r="T1430" t="str">
        <f>TEXT(SalesData[[#This Row],[Date]],"MMM-YYY")</f>
        <v>Mar-2025</v>
      </c>
      <c r="U1430" t="str">
        <f>TEXT(SalesData[[#This Row],[Date]],"YYYY")&amp;"  Q"&amp;INT(MONTH(SalesData[[#This Row],[Date]]/2)+3)</f>
        <v>2025  Q11</v>
      </c>
    </row>
    <row r="1431" spans="1:21"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c r="T1431" t="str">
        <f>TEXT(SalesData[[#This Row],[Date]],"MMM-YYY")</f>
        <v>Apr-2023</v>
      </c>
      <c r="U1431" t="str">
        <f>TEXT(SalesData[[#This Row],[Date]],"YYYY")&amp;"  Q"&amp;INT(MONTH(SalesData[[#This Row],[Date]]/2)+3)</f>
        <v>2023  Q11</v>
      </c>
    </row>
    <row r="1432" spans="1:21"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c r="T1432" t="str">
        <f>TEXT(SalesData[[#This Row],[Date]],"MMM-YYY")</f>
        <v>Feb-2023</v>
      </c>
      <c r="U1432" t="str">
        <f>TEXT(SalesData[[#This Row],[Date]],"YYYY")&amp;"  Q"&amp;INT(MONTH(SalesData[[#This Row],[Date]]/2)+3)</f>
        <v>2023  Q10</v>
      </c>
    </row>
    <row r="1433" spans="1:21"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c r="T1433" t="str">
        <f>TEXT(SalesData[[#This Row],[Date]],"MMM-YYY")</f>
        <v>Jan-2025</v>
      </c>
      <c r="U1433" t="str">
        <f>TEXT(SalesData[[#This Row],[Date]],"YYYY")&amp;"  Q"&amp;INT(MONTH(SalesData[[#This Row],[Date]]/2)+3)</f>
        <v>2025  Q10</v>
      </c>
    </row>
    <row r="1434" spans="1:21"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c r="T1434" t="str">
        <f>TEXT(SalesData[[#This Row],[Date]],"MMM-YYY")</f>
        <v>Jul-2023</v>
      </c>
      <c r="U1434" t="str">
        <f>TEXT(SalesData[[#This Row],[Date]],"YYYY")&amp;"  Q"&amp;INT(MONTH(SalesData[[#This Row],[Date]]/2)+3)</f>
        <v>2023  Q13</v>
      </c>
    </row>
    <row r="1435" spans="1:21"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c r="T1435" t="str">
        <f>TEXT(SalesData[[#This Row],[Date]],"MMM-YYY")</f>
        <v>Jul-2023</v>
      </c>
      <c r="U1435" t="str">
        <f>TEXT(SalesData[[#This Row],[Date]],"YYYY")&amp;"  Q"&amp;INT(MONTH(SalesData[[#This Row],[Date]]/2)+3)</f>
        <v>2023  Q13</v>
      </c>
    </row>
    <row r="1436" spans="1:21"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c r="T1436" t="str">
        <f>TEXT(SalesData[[#This Row],[Date]],"MMM-YYY")</f>
        <v>Apr-2023</v>
      </c>
      <c r="U1436" t="str">
        <f>TEXT(SalesData[[#This Row],[Date]],"YYYY")&amp;"  Q"&amp;INT(MONTH(SalesData[[#This Row],[Date]]/2)+3)</f>
        <v>2023  Q11</v>
      </c>
    </row>
    <row r="1437" spans="1:21"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c r="T1437" t="str">
        <f>TEXT(SalesData[[#This Row],[Date]],"MMM-YYY")</f>
        <v>Oct-2024</v>
      </c>
      <c r="U1437" t="str">
        <f>TEXT(SalesData[[#This Row],[Date]],"YYYY")&amp;"  Q"&amp;INT(MONTH(SalesData[[#This Row],[Date]]/2)+3)</f>
        <v>2024  Q8</v>
      </c>
    </row>
    <row r="1438" spans="1:21"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c r="T1438" t="str">
        <f>TEXT(SalesData[[#This Row],[Date]],"MMM-YYY")</f>
        <v>Jan-2024</v>
      </c>
      <c r="U1438" t="str">
        <f>TEXT(SalesData[[#This Row],[Date]],"YYYY")&amp;"  Q"&amp;INT(MONTH(SalesData[[#This Row],[Date]]/2)+3)</f>
        <v>2024  Q4</v>
      </c>
    </row>
    <row r="1439" spans="1:21"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c r="T1439" t="str">
        <f>TEXT(SalesData[[#This Row],[Date]],"MMM-YYY")</f>
        <v>Dec-2024</v>
      </c>
      <c r="U1439" t="str">
        <f>TEXT(SalesData[[#This Row],[Date]],"YYYY")&amp;"  Q"&amp;INT(MONTH(SalesData[[#This Row],[Date]]/2)+3)</f>
        <v>2024  Q9</v>
      </c>
    </row>
    <row r="1440" spans="1:21"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c r="T1440" t="str">
        <f>TEXT(SalesData[[#This Row],[Date]],"MMM-YYY")</f>
        <v>Oct-2024</v>
      </c>
      <c r="U1440" t="str">
        <f>TEXT(SalesData[[#This Row],[Date]],"YYYY")&amp;"  Q"&amp;INT(MONTH(SalesData[[#This Row],[Date]]/2)+3)</f>
        <v>2024  Q8</v>
      </c>
    </row>
    <row r="1441" spans="1:21"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c r="T1441" t="str">
        <f>TEXT(SalesData[[#This Row],[Date]],"MMM-YYY")</f>
        <v>Nov-2023</v>
      </c>
      <c r="U1441" t="str">
        <f>TEXT(SalesData[[#This Row],[Date]],"YYYY")&amp;"  Q"&amp;INT(MONTH(SalesData[[#This Row],[Date]]/2)+3)</f>
        <v>2023  Q15</v>
      </c>
    </row>
    <row r="1442" spans="1:21"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c r="T1442" t="str">
        <f>TEXT(SalesData[[#This Row],[Date]],"MMM-YYY")</f>
        <v>Mar-2024</v>
      </c>
      <c r="U1442" t="str">
        <f>TEXT(SalesData[[#This Row],[Date]],"YYYY")&amp;"  Q"&amp;INT(MONTH(SalesData[[#This Row],[Date]]/2)+3)</f>
        <v>2024  Q5</v>
      </c>
    </row>
    <row r="1443" spans="1:21"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c r="T1443" t="str">
        <f>TEXT(SalesData[[#This Row],[Date]],"MMM-YYY")</f>
        <v>Feb-2023</v>
      </c>
      <c r="U1443" t="str">
        <f>TEXT(SalesData[[#This Row],[Date]],"YYYY")&amp;"  Q"&amp;INT(MONTH(SalesData[[#This Row],[Date]]/2)+3)</f>
        <v>2023  Q10</v>
      </c>
    </row>
    <row r="1444" spans="1:21"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c r="T1444" t="str">
        <f>TEXT(SalesData[[#This Row],[Date]],"MMM-YYY")</f>
        <v>Sep-2023</v>
      </c>
      <c r="U1444" t="str">
        <f>TEXT(SalesData[[#This Row],[Date]],"YYYY")&amp;"  Q"&amp;INT(MONTH(SalesData[[#This Row],[Date]]/2)+3)</f>
        <v>2023  Q14</v>
      </c>
    </row>
    <row r="1445" spans="1:21"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c r="T1445" t="str">
        <f>TEXT(SalesData[[#This Row],[Date]],"MMM-YYY")</f>
        <v>Jun-2023</v>
      </c>
      <c r="U1445" t="str">
        <f>TEXT(SalesData[[#This Row],[Date]],"YYYY")&amp;"  Q"&amp;INT(MONTH(SalesData[[#This Row],[Date]]/2)+3)</f>
        <v>2023  Q12</v>
      </c>
    </row>
    <row r="1446" spans="1:21"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c r="T1446" t="str">
        <f>TEXT(SalesData[[#This Row],[Date]],"MMM-YYY")</f>
        <v>Apr-2025</v>
      </c>
      <c r="U1446" t="str">
        <f>TEXT(SalesData[[#This Row],[Date]],"YYYY")&amp;"  Q"&amp;INT(MONTH(SalesData[[#This Row],[Date]]/2)+3)</f>
        <v>2025  Q11</v>
      </c>
    </row>
    <row r="1447" spans="1:21"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c r="T1447" t="str">
        <f>TEXT(SalesData[[#This Row],[Date]],"MMM-YYY")</f>
        <v>Apr-2025</v>
      </c>
      <c r="U1447" t="str">
        <f>TEXT(SalesData[[#This Row],[Date]],"YYYY")&amp;"  Q"&amp;INT(MONTH(SalesData[[#This Row],[Date]]/2)+3)</f>
        <v>2025  Q11</v>
      </c>
    </row>
    <row r="1448" spans="1:21"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c r="T1448" t="str">
        <f>TEXT(SalesData[[#This Row],[Date]],"MMM-YYY")</f>
        <v>Jul-2024</v>
      </c>
      <c r="U1448" t="str">
        <f>TEXT(SalesData[[#This Row],[Date]],"YYYY")&amp;"  Q"&amp;INT(MONTH(SalesData[[#This Row],[Date]]/2)+3)</f>
        <v>2024  Q7</v>
      </c>
    </row>
    <row r="1449" spans="1:21"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c r="T1449" t="str">
        <f>TEXT(SalesData[[#This Row],[Date]],"MMM-YYY")</f>
        <v>Jun-2025</v>
      </c>
      <c r="U1449" t="str">
        <f>TEXT(SalesData[[#This Row],[Date]],"YYYY")&amp;"  Q"&amp;INT(MONTH(SalesData[[#This Row],[Date]]/2)+3)</f>
        <v>2025  Q12</v>
      </c>
    </row>
    <row r="1450" spans="1:21"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c r="T1450" t="str">
        <f>TEXT(SalesData[[#This Row],[Date]],"MMM-YYY")</f>
        <v>Jun-2024</v>
      </c>
      <c r="U1450" t="str">
        <f>TEXT(SalesData[[#This Row],[Date]],"YYYY")&amp;"  Q"&amp;INT(MONTH(SalesData[[#This Row],[Date]]/2)+3)</f>
        <v>2024  Q6</v>
      </c>
    </row>
    <row r="1451" spans="1:21"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c r="T1451" t="str">
        <f>TEXT(SalesData[[#This Row],[Date]],"MMM-YYY")</f>
        <v>Dec-2023</v>
      </c>
      <c r="U1451" t="str">
        <f>TEXT(SalesData[[#This Row],[Date]],"YYYY")&amp;"  Q"&amp;INT(MONTH(SalesData[[#This Row],[Date]]/2)+3)</f>
        <v>2023  Q15</v>
      </c>
    </row>
    <row r="1452" spans="1:21"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c r="T1452" t="str">
        <f>TEXT(SalesData[[#This Row],[Date]],"MMM-YYY")</f>
        <v>Jul-2024</v>
      </c>
      <c r="U1452" t="str">
        <f>TEXT(SalesData[[#This Row],[Date]],"YYYY")&amp;"  Q"&amp;INT(MONTH(SalesData[[#This Row],[Date]]/2)+3)</f>
        <v>2024  Q7</v>
      </c>
    </row>
    <row r="1453" spans="1:21"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c r="T1453" t="str">
        <f>TEXT(SalesData[[#This Row],[Date]],"MMM-YYY")</f>
        <v>Apr-2023</v>
      </c>
      <c r="U1453" t="str">
        <f>TEXT(SalesData[[#This Row],[Date]],"YYYY")&amp;"  Q"&amp;INT(MONTH(SalesData[[#This Row],[Date]]/2)+3)</f>
        <v>2023  Q11</v>
      </c>
    </row>
    <row r="1454" spans="1:21"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c r="T1454" t="str">
        <f>TEXT(SalesData[[#This Row],[Date]],"MMM-YYY")</f>
        <v>Dec-2024</v>
      </c>
      <c r="U1454" t="str">
        <f>TEXT(SalesData[[#This Row],[Date]],"YYYY")&amp;"  Q"&amp;INT(MONTH(SalesData[[#This Row],[Date]]/2)+3)</f>
        <v>2024  Q9</v>
      </c>
    </row>
    <row r="1455" spans="1:21"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c r="T1455" t="str">
        <f>TEXT(SalesData[[#This Row],[Date]],"MMM-YYY")</f>
        <v>Aug-2024</v>
      </c>
      <c r="U1455" t="str">
        <f>TEXT(SalesData[[#This Row],[Date]],"YYYY")&amp;"  Q"&amp;INT(MONTH(SalesData[[#This Row],[Date]]/2)+3)</f>
        <v>2024  Q7</v>
      </c>
    </row>
    <row r="1456" spans="1:21"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c r="T1456" t="str">
        <f>TEXT(SalesData[[#This Row],[Date]],"MMM-YYY")</f>
        <v>Sep-2024</v>
      </c>
      <c r="U1456" t="str">
        <f>TEXT(SalesData[[#This Row],[Date]],"YYYY")&amp;"  Q"&amp;INT(MONTH(SalesData[[#This Row],[Date]]/2)+3)</f>
        <v>2024  Q8</v>
      </c>
    </row>
    <row r="1457" spans="1:21"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c r="T1457" t="str">
        <f>TEXT(SalesData[[#This Row],[Date]],"MMM-YYY")</f>
        <v>Oct-2023</v>
      </c>
      <c r="U1457" t="str">
        <f>TEXT(SalesData[[#This Row],[Date]],"YYYY")&amp;"  Q"&amp;INT(MONTH(SalesData[[#This Row],[Date]]/2)+3)</f>
        <v>2023  Q14</v>
      </c>
    </row>
    <row r="1458" spans="1:21"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c r="T1458" t="str">
        <f>TEXT(SalesData[[#This Row],[Date]],"MMM-YYY")</f>
        <v>May-2025</v>
      </c>
      <c r="U1458" t="str">
        <f>TEXT(SalesData[[#This Row],[Date]],"YYYY")&amp;"  Q"&amp;INT(MONTH(SalesData[[#This Row],[Date]]/2)+3)</f>
        <v>2025  Q12</v>
      </c>
    </row>
    <row r="1459" spans="1:21"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c r="T1459" t="str">
        <f>TEXT(SalesData[[#This Row],[Date]],"MMM-YYY")</f>
        <v>Jan-2023</v>
      </c>
      <c r="U1459" t="str">
        <f>TEXT(SalesData[[#This Row],[Date]],"YYYY")&amp;"  Q"&amp;INT(MONTH(SalesData[[#This Row],[Date]]/2)+3)</f>
        <v>2023  Q10</v>
      </c>
    </row>
    <row r="1460" spans="1:21"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c r="T1460" t="str">
        <f>TEXT(SalesData[[#This Row],[Date]],"MMM-YYY")</f>
        <v>Oct-2023</v>
      </c>
      <c r="U1460" t="str">
        <f>TEXT(SalesData[[#This Row],[Date]],"YYYY")&amp;"  Q"&amp;INT(MONTH(SalesData[[#This Row],[Date]]/2)+3)</f>
        <v>2023  Q14</v>
      </c>
    </row>
    <row r="1461" spans="1:21"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c r="T1461" t="str">
        <f>TEXT(SalesData[[#This Row],[Date]],"MMM-YYY")</f>
        <v>Apr-2025</v>
      </c>
      <c r="U1461" t="str">
        <f>TEXT(SalesData[[#This Row],[Date]],"YYYY")&amp;"  Q"&amp;INT(MONTH(SalesData[[#This Row],[Date]]/2)+3)</f>
        <v>2025  Q11</v>
      </c>
    </row>
    <row r="1462" spans="1:21"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c r="T1462" t="str">
        <f>TEXT(SalesData[[#This Row],[Date]],"MMM-YYY")</f>
        <v>Mar-2024</v>
      </c>
      <c r="U1462" t="str">
        <f>TEXT(SalesData[[#This Row],[Date]],"YYYY")&amp;"  Q"&amp;INT(MONTH(SalesData[[#This Row],[Date]]/2)+3)</f>
        <v>2024  Q5</v>
      </c>
    </row>
    <row r="1463" spans="1:21"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c r="T1463" t="str">
        <f>TEXT(SalesData[[#This Row],[Date]],"MMM-YYY")</f>
        <v>Jan-2025</v>
      </c>
      <c r="U1463" t="str">
        <f>TEXT(SalesData[[#This Row],[Date]],"YYYY")&amp;"  Q"&amp;INT(MONTH(SalesData[[#This Row],[Date]]/2)+3)</f>
        <v>2025  Q10</v>
      </c>
    </row>
    <row r="1464" spans="1:21"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c r="T1464" t="str">
        <f>TEXT(SalesData[[#This Row],[Date]],"MMM-YYY")</f>
        <v>Mar-2025</v>
      </c>
      <c r="U1464" t="str">
        <f>TEXT(SalesData[[#This Row],[Date]],"YYYY")&amp;"  Q"&amp;INT(MONTH(SalesData[[#This Row],[Date]]/2)+3)</f>
        <v>2025  Q11</v>
      </c>
    </row>
    <row r="1465" spans="1:21"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c r="T1465" t="str">
        <f>TEXT(SalesData[[#This Row],[Date]],"MMM-YYY")</f>
        <v>Jan-2025</v>
      </c>
      <c r="U1465" t="str">
        <f>TEXT(SalesData[[#This Row],[Date]],"YYYY")&amp;"  Q"&amp;INT(MONTH(SalesData[[#This Row],[Date]]/2)+3)</f>
        <v>2025  Q10</v>
      </c>
    </row>
    <row r="1466" spans="1:21"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c r="T1466" t="str">
        <f>TEXT(SalesData[[#This Row],[Date]],"MMM-YYY")</f>
        <v>May-2024</v>
      </c>
      <c r="U1466" t="str">
        <f>TEXT(SalesData[[#This Row],[Date]],"YYYY")&amp;"  Q"&amp;INT(MONTH(SalesData[[#This Row],[Date]]/2)+3)</f>
        <v>2024  Q6</v>
      </c>
    </row>
    <row r="1467" spans="1:21"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c r="T1467" t="str">
        <f>TEXT(SalesData[[#This Row],[Date]],"MMM-YYY")</f>
        <v>Sep-2023</v>
      </c>
      <c r="U1467" t="str">
        <f>TEXT(SalesData[[#This Row],[Date]],"YYYY")&amp;"  Q"&amp;INT(MONTH(SalesData[[#This Row],[Date]]/2)+3)</f>
        <v>2023  Q14</v>
      </c>
    </row>
    <row r="1468" spans="1:21"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c r="T1468" t="str">
        <f>TEXT(SalesData[[#This Row],[Date]],"MMM-YYY")</f>
        <v>Dec-2023</v>
      </c>
      <c r="U1468" t="str">
        <f>TEXT(SalesData[[#This Row],[Date]],"YYYY")&amp;"  Q"&amp;INT(MONTH(SalesData[[#This Row],[Date]]/2)+3)</f>
        <v>2023  Q15</v>
      </c>
    </row>
    <row r="1469" spans="1:21"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c r="T1469" t="str">
        <f>TEXT(SalesData[[#This Row],[Date]],"MMM-YYY")</f>
        <v>Jan-2024</v>
      </c>
      <c r="U1469" t="str">
        <f>TEXT(SalesData[[#This Row],[Date]],"YYYY")&amp;"  Q"&amp;INT(MONTH(SalesData[[#This Row],[Date]]/2)+3)</f>
        <v>2024  Q4</v>
      </c>
    </row>
    <row r="1470" spans="1:21"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c r="T1470" t="str">
        <f>TEXT(SalesData[[#This Row],[Date]],"MMM-YYY")</f>
        <v>Dec-2024</v>
      </c>
      <c r="U1470" t="str">
        <f>TEXT(SalesData[[#This Row],[Date]],"YYYY")&amp;"  Q"&amp;INT(MONTH(SalesData[[#This Row],[Date]]/2)+3)</f>
        <v>2024  Q9</v>
      </c>
    </row>
    <row r="1471" spans="1:21"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c r="T1471" t="str">
        <f>TEXT(SalesData[[#This Row],[Date]],"MMM-YYY")</f>
        <v>Dec-2023</v>
      </c>
      <c r="U1471" t="str">
        <f>TEXT(SalesData[[#This Row],[Date]],"YYYY")&amp;"  Q"&amp;INT(MONTH(SalesData[[#This Row],[Date]]/2)+3)</f>
        <v>2023  Q15</v>
      </c>
    </row>
    <row r="1472" spans="1:21"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c r="T1472" t="str">
        <f>TEXT(SalesData[[#This Row],[Date]],"MMM-YYY")</f>
        <v>May-2025</v>
      </c>
      <c r="U1472" t="str">
        <f>TEXT(SalesData[[#This Row],[Date]],"YYYY")&amp;"  Q"&amp;INT(MONTH(SalesData[[#This Row],[Date]]/2)+3)</f>
        <v>2025  Q12</v>
      </c>
    </row>
    <row r="1473" spans="1:21"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c r="T1473" t="str">
        <f>TEXT(SalesData[[#This Row],[Date]],"MMM-YYY")</f>
        <v>Jun-2023</v>
      </c>
      <c r="U1473" t="str">
        <f>TEXT(SalesData[[#This Row],[Date]],"YYYY")&amp;"  Q"&amp;INT(MONTH(SalesData[[#This Row],[Date]]/2)+3)</f>
        <v>2023  Q12</v>
      </c>
    </row>
    <row r="1474" spans="1:21"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c r="T1474" t="str">
        <f>TEXT(SalesData[[#This Row],[Date]],"MMM-YYY")</f>
        <v>Jun-2025</v>
      </c>
      <c r="U1474" t="str">
        <f>TEXT(SalesData[[#This Row],[Date]],"YYYY")&amp;"  Q"&amp;INT(MONTH(SalesData[[#This Row],[Date]]/2)+3)</f>
        <v>2025  Q12</v>
      </c>
    </row>
    <row r="1475" spans="1:21"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c r="T1475" t="str">
        <f>TEXT(SalesData[[#This Row],[Date]],"MMM-YYY")</f>
        <v>Mar-2025</v>
      </c>
      <c r="U1475" t="str">
        <f>TEXT(SalesData[[#This Row],[Date]],"YYYY")&amp;"  Q"&amp;INT(MONTH(SalesData[[#This Row],[Date]]/2)+3)</f>
        <v>2025  Q11</v>
      </c>
    </row>
    <row r="1476" spans="1:21"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c r="T1476" t="str">
        <f>TEXT(SalesData[[#This Row],[Date]],"MMM-YYY")</f>
        <v>Apr-2023</v>
      </c>
      <c r="U1476" t="str">
        <f>TEXT(SalesData[[#This Row],[Date]],"YYYY")&amp;"  Q"&amp;INT(MONTH(SalesData[[#This Row],[Date]]/2)+3)</f>
        <v>2023  Q11</v>
      </c>
    </row>
    <row r="1477" spans="1:21"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c r="T1477" t="str">
        <f>TEXT(SalesData[[#This Row],[Date]],"MMM-YYY")</f>
        <v>Sep-2024</v>
      </c>
      <c r="U1477" t="str">
        <f>TEXT(SalesData[[#This Row],[Date]],"YYYY")&amp;"  Q"&amp;INT(MONTH(SalesData[[#This Row],[Date]]/2)+3)</f>
        <v>2024  Q8</v>
      </c>
    </row>
    <row r="1478" spans="1:21"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c r="T1478" t="str">
        <f>TEXT(SalesData[[#This Row],[Date]],"MMM-YYY")</f>
        <v>Nov-2023</v>
      </c>
      <c r="U1478" t="str">
        <f>TEXT(SalesData[[#This Row],[Date]],"YYYY")&amp;"  Q"&amp;INT(MONTH(SalesData[[#This Row],[Date]]/2)+3)</f>
        <v>2023  Q15</v>
      </c>
    </row>
    <row r="1479" spans="1:21"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c r="T1479" t="str">
        <f>TEXT(SalesData[[#This Row],[Date]],"MMM-YYY")</f>
        <v>Feb-2024</v>
      </c>
      <c r="U1479" t="str">
        <f>TEXT(SalesData[[#This Row],[Date]],"YYYY")&amp;"  Q"&amp;INT(MONTH(SalesData[[#This Row],[Date]]/2)+3)</f>
        <v>2024  Q4</v>
      </c>
    </row>
    <row r="1480" spans="1:21"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c r="T1480" t="str">
        <f>TEXT(SalesData[[#This Row],[Date]],"MMM-YYY")</f>
        <v>May-2023</v>
      </c>
      <c r="U1480" t="str">
        <f>TEXT(SalesData[[#This Row],[Date]],"YYYY")&amp;"  Q"&amp;INT(MONTH(SalesData[[#This Row],[Date]]/2)+3)</f>
        <v>2023  Q12</v>
      </c>
    </row>
    <row r="1481" spans="1:21"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c r="T1481" t="str">
        <f>TEXT(SalesData[[#This Row],[Date]],"MMM-YYY")</f>
        <v>Sep-2024</v>
      </c>
      <c r="U1481" t="str">
        <f>TEXT(SalesData[[#This Row],[Date]],"YYYY")&amp;"  Q"&amp;INT(MONTH(SalesData[[#This Row],[Date]]/2)+3)</f>
        <v>2024  Q8</v>
      </c>
    </row>
    <row r="1482" spans="1:21"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c r="T1482" t="str">
        <f>TEXT(SalesData[[#This Row],[Date]],"MMM-YYY")</f>
        <v>Aug-2024</v>
      </c>
      <c r="U1482" t="str">
        <f>TEXT(SalesData[[#This Row],[Date]],"YYYY")&amp;"  Q"&amp;INT(MONTH(SalesData[[#This Row],[Date]]/2)+3)</f>
        <v>2024  Q7</v>
      </c>
    </row>
    <row r="1483" spans="1:21"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c r="T1483" t="str">
        <f>TEXT(SalesData[[#This Row],[Date]],"MMM-YYY")</f>
        <v>May-2025</v>
      </c>
      <c r="U1483" t="str">
        <f>TEXT(SalesData[[#This Row],[Date]],"YYYY")&amp;"  Q"&amp;INT(MONTH(SalesData[[#This Row],[Date]]/2)+3)</f>
        <v>2025  Q12</v>
      </c>
    </row>
    <row r="1484" spans="1:21"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c r="T1484" t="str">
        <f>TEXT(SalesData[[#This Row],[Date]],"MMM-YYY")</f>
        <v>Aug-2023</v>
      </c>
      <c r="U1484" t="str">
        <f>TEXT(SalesData[[#This Row],[Date]],"YYYY")&amp;"  Q"&amp;INT(MONTH(SalesData[[#This Row],[Date]]/2)+3)</f>
        <v>2023  Q13</v>
      </c>
    </row>
    <row r="1485" spans="1:21"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c r="T1485" t="str">
        <f>TEXT(SalesData[[#This Row],[Date]],"MMM-YYY")</f>
        <v>Jan-2024</v>
      </c>
      <c r="U1485" t="str">
        <f>TEXT(SalesData[[#This Row],[Date]],"YYYY")&amp;"  Q"&amp;INT(MONTH(SalesData[[#This Row],[Date]]/2)+3)</f>
        <v>2024  Q4</v>
      </c>
    </row>
    <row r="1486" spans="1:21"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c r="T1486" t="str">
        <f>TEXT(SalesData[[#This Row],[Date]],"MMM-YYY")</f>
        <v>Mar-2023</v>
      </c>
      <c r="U1486" t="str">
        <f>TEXT(SalesData[[#This Row],[Date]],"YYYY")&amp;"  Q"&amp;INT(MONTH(SalesData[[#This Row],[Date]]/2)+3)</f>
        <v>2023  Q11</v>
      </c>
    </row>
    <row r="1487" spans="1:21"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c r="T1487" t="str">
        <f>TEXT(SalesData[[#This Row],[Date]],"MMM-YYY")</f>
        <v>May-2025</v>
      </c>
      <c r="U1487" t="str">
        <f>TEXT(SalesData[[#This Row],[Date]],"YYYY")&amp;"  Q"&amp;INT(MONTH(SalesData[[#This Row],[Date]]/2)+3)</f>
        <v>2025  Q12</v>
      </c>
    </row>
    <row r="1488" spans="1:21"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c r="T1488" t="str">
        <f>TEXT(SalesData[[#This Row],[Date]],"MMM-YYY")</f>
        <v>May-2023</v>
      </c>
      <c r="U1488" t="str">
        <f>TEXT(SalesData[[#This Row],[Date]],"YYYY")&amp;"  Q"&amp;INT(MONTH(SalesData[[#This Row],[Date]]/2)+3)</f>
        <v>2023  Q12</v>
      </c>
    </row>
    <row r="1489" spans="1:21"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c r="T1489" t="str">
        <f>TEXT(SalesData[[#This Row],[Date]],"MMM-YYY")</f>
        <v>Jun-2024</v>
      </c>
      <c r="U1489" t="str">
        <f>TEXT(SalesData[[#This Row],[Date]],"YYYY")&amp;"  Q"&amp;INT(MONTH(SalesData[[#This Row],[Date]]/2)+3)</f>
        <v>2024  Q6</v>
      </c>
    </row>
    <row r="1490" spans="1:21"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c r="T1490" t="str">
        <f>TEXT(SalesData[[#This Row],[Date]],"MMM-YYY")</f>
        <v>Jan-2025</v>
      </c>
      <c r="U1490" t="str">
        <f>TEXT(SalesData[[#This Row],[Date]],"YYYY")&amp;"  Q"&amp;INT(MONTH(SalesData[[#This Row],[Date]]/2)+3)</f>
        <v>2025  Q10</v>
      </c>
    </row>
    <row r="1491" spans="1:21"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c r="T1491" t="str">
        <f>TEXT(SalesData[[#This Row],[Date]],"MMM-YYY")</f>
        <v>Nov-2024</v>
      </c>
      <c r="U1491" t="str">
        <f>TEXT(SalesData[[#This Row],[Date]],"YYYY")&amp;"  Q"&amp;INT(MONTH(SalesData[[#This Row],[Date]]/2)+3)</f>
        <v>2024  Q9</v>
      </c>
    </row>
    <row r="1492" spans="1:21"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c r="T1492" t="str">
        <f>TEXT(SalesData[[#This Row],[Date]],"MMM-YYY")</f>
        <v>Oct-2023</v>
      </c>
      <c r="U1492" t="str">
        <f>TEXT(SalesData[[#This Row],[Date]],"YYYY")&amp;"  Q"&amp;INT(MONTH(SalesData[[#This Row],[Date]]/2)+3)</f>
        <v>2023  Q14</v>
      </c>
    </row>
    <row r="1493" spans="1:21"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c r="T1493" t="str">
        <f>TEXT(SalesData[[#This Row],[Date]],"MMM-YYY")</f>
        <v>Jul-2024</v>
      </c>
      <c r="U1493" t="str">
        <f>TEXT(SalesData[[#This Row],[Date]],"YYYY")&amp;"  Q"&amp;INT(MONTH(SalesData[[#This Row],[Date]]/2)+3)</f>
        <v>2024  Q7</v>
      </c>
    </row>
    <row r="1494" spans="1:21"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c r="T1494" t="str">
        <f>TEXT(SalesData[[#This Row],[Date]],"MMM-YYY")</f>
        <v>Jul-2024</v>
      </c>
      <c r="U1494" t="str">
        <f>TEXT(SalesData[[#This Row],[Date]],"YYYY")&amp;"  Q"&amp;INT(MONTH(SalesData[[#This Row],[Date]]/2)+3)</f>
        <v>2024  Q7</v>
      </c>
    </row>
    <row r="1495" spans="1:21"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c r="T1495" t="str">
        <f>TEXT(SalesData[[#This Row],[Date]],"MMM-YYY")</f>
        <v>Sep-2024</v>
      </c>
      <c r="U1495" t="str">
        <f>TEXT(SalesData[[#This Row],[Date]],"YYYY")&amp;"  Q"&amp;INT(MONTH(SalesData[[#This Row],[Date]]/2)+3)</f>
        <v>2024  Q8</v>
      </c>
    </row>
    <row r="1496" spans="1:21"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c r="T1496" t="str">
        <f>TEXT(SalesData[[#This Row],[Date]],"MMM-YYY")</f>
        <v>Jan-2025</v>
      </c>
      <c r="U1496" t="str">
        <f>TEXT(SalesData[[#This Row],[Date]],"YYYY")&amp;"  Q"&amp;INT(MONTH(SalesData[[#This Row],[Date]]/2)+3)</f>
        <v>2025  Q10</v>
      </c>
    </row>
    <row r="1497" spans="1:21"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c r="T1497" t="str">
        <f>TEXT(SalesData[[#This Row],[Date]],"MMM-YYY")</f>
        <v>Feb-2025</v>
      </c>
      <c r="U1497" t="str">
        <f>TEXT(SalesData[[#This Row],[Date]],"YYYY")&amp;"  Q"&amp;INT(MONTH(SalesData[[#This Row],[Date]]/2)+3)</f>
        <v>2025  Q10</v>
      </c>
    </row>
    <row r="1498" spans="1:21"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c r="T1498" t="str">
        <f>TEXT(SalesData[[#This Row],[Date]],"MMM-YYY")</f>
        <v>Jan-2024</v>
      </c>
      <c r="U1498" t="str">
        <f>TEXT(SalesData[[#This Row],[Date]],"YYYY")&amp;"  Q"&amp;INT(MONTH(SalesData[[#This Row],[Date]]/2)+3)</f>
        <v>2024  Q4</v>
      </c>
    </row>
    <row r="1499" spans="1:21"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c r="T1499" t="str">
        <f>TEXT(SalesData[[#This Row],[Date]],"MMM-YYY")</f>
        <v>Jul-2024</v>
      </c>
      <c r="U1499" t="str">
        <f>TEXT(SalesData[[#This Row],[Date]],"YYYY")&amp;"  Q"&amp;INT(MONTH(SalesData[[#This Row],[Date]]/2)+3)</f>
        <v>2024  Q7</v>
      </c>
    </row>
    <row r="1500" spans="1:21"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c r="T1500" t="str">
        <f>TEXT(SalesData[[#This Row],[Date]],"MMM-YYY")</f>
        <v>Dec-2024</v>
      </c>
      <c r="U1500" t="str">
        <f>TEXT(SalesData[[#This Row],[Date]],"YYYY")&amp;"  Q"&amp;INT(MONTH(SalesData[[#This Row],[Date]]/2)+3)</f>
        <v>2024  Q9</v>
      </c>
    </row>
    <row r="1501" spans="1:21"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c r="T1501" t="str">
        <f>TEXT(SalesData[[#This Row],[Date]],"MMM-YYY")</f>
        <v>May-2025</v>
      </c>
      <c r="U1501" t="str">
        <f>TEXT(SalesData[[#This Row],[Date]],"YYYY")&amp;"  Q"&amp;INT(MONTH(SalesData[[#This Row],[Date]]/2)+3)</f>
        <v>2025  Q12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3B4EF-BA96-464E-A151-6549B5E30EF8}">
  <sheetPr>
    <tabColor theme="1"/>
  </sheetPr>
  <dimension ref="A1:AA41"/>
  <sheetViews>
    <sheetView tabSelected="1" zoomScale="60" zoomScaleNormal="60" workbookViewId="0">
      <selection activeCell="R54" sqref="R54"/>
    </sheetView>
  </sheetViews>
  <sheetFormatPr defaultRowHeight="14.4" x14ac:dyDescent="0.3"/>
  <cols>
    <col min="1" max="1" width="2.5546875" style="5" customWidth="1"/>
    <col min="2" max="2" width="11" style="5" customWidth="1"/>
    <col min="3" max="3" width="8.88671875" style="5" customWidth="1"/>
    <col min="4" max="4" width="47.88671875" style="5" customWidth="1"/>
    <col min="5" max="5" width="2.88671875" style="5" customWidth="1"/>
    <col min="6" max="6" width="8.88671875" style="5" hidden="1" customWidth="1"/>
    <col min="7" max="7" width="7.88671875" style="5" hidden="1" customWidth="1"/>
    <col min="8" max="8" width="6.33203125" style="5" hidden="1" customWidth="1"/>
    <col min="9" max="9" width="8.88671875" style="5" hidden="1" customWidth="1"/>
    <col min="10" max="11" width="8.88671875" style="5"/>
    <col min="12" max="12" width="61.77734375" style="5" customWidth="1"/>
    <col min="13" max="13" width="5.5546875" style="5" customWidth="1"/>
    <col min="14" max="15" width="8.88671875" style="5" hidden="1" customWidth="1"/>
    <col min="16" max="17" width="8.88671875" style="5"/>
    <col min="18" max="18" width="74.6640625" style="5" customWidth="1"/>
    <col min="19" max="19" width="4.88671875" style="5" customWidth="1"/>
    <col min="20" max="22" width="8.88671875" style="5" hidden="1" customWidth="1"/>
    <col min="23" max="23" width="19.5546875" style="5" hidden="1" customWidth="1"/>
    <col min="24" max="25" width="8.88671875" style="5"/>
    <col min="26" max="26" width="69.109375" style="5" customWidth="1"/>
    <col min="27" max="16384" width="8.88671875" style="5"/>
  </cols>
  <sheetData>
    <row r="1" spans="1:26" ht="52.2" customHeight="1" x14ac:dyDescent="1.05">
      <c r="H1" s="6" t="s">
        <v>2981</v>
      </c>
      <c r="L1" s="8" t="s">
        <v>2986</v>
      </c>
      <c r="M1" s="8"/>
      <c r="N1" s="8"/>
      <c r="O1" s="8"/>
      <c r="P1" s="8"/>
      <c r="Q1" s="8"/>
      <c r="R1" s="8"/>
    </row>
    <row r="2" spans="1:26" ht="15.6" customHeight="1" x14ac:dyDescent="0.3"/>
    <row r="3" spans="1:26" ht="35.4" customHeight="1" x14ac:dyDescent="0.8">
      <c r="A3" s="7"/>
      <c r="B3" s="10" t="s">
        <v>2982</v>
      </c>
      <c r="C3" s="10"/>
      <c r="D3" s="10"/>
      <c r="J3" s="12" t="s">
        <v>2983</v>
      </c>
      <c r="K3" s="13"/>
      <c r="L3" s="13"/>
      <c r="P3" s="15" t="s">
        <v>2984</v>
      </c>
      <c r="Q3" s="16"/>
      <c r="R3" s="16"/>
      <c r="X3" s="9" t="s">
        <v>2985</v>
      </c>
      <c r="Y3" s="9"/>
      <c r="Z3" s="9"/>
    </row>
    <row r="4" spans="1:26" ht="43.2" customHeight="1" x14ac:dyDescent="0.8">
      <c r="B4" s="11">
        <f>SUM(SalesData[TotalPrice])</f>
        <v>4379992.4284999985</v>
      </c>
      <c r="C4" s="11"/>
      <c r="D4" s="11"/>
      <c r="J4" s="14">
        <f>COUNTA(SalesData[OrderID])</f>
        <v>1500</v>
      </c>
      <c r="K4" s="14"/>
      <c r="L4" s="14"/>
      <c r="P4" s="15">
        <f>AVERAGE(SalesData[TotalPrice])</f>
        <v>2919.9949523333325</v>
      </c>
      <c r="Q4" s="15"/>
      <c r="R4" s="15"/>
      <c r="X4" s="9">
        <f>SUM(SalesData[Quantity])</f>
        <v>15616</v>
      </c>
      <c r="Y4" s="9"/>
      <c r="Z4" s="9"/>
    </row>
    <row r="41" spans="25:27" ht="25.2" x14ac:dyDescent="0.6">
      <c r="Y41" s="18" t="s">
        <v>2987</v>
      </c>
      <c r="Z41" s="17"/>
      <c r="AA41" s="17"/>
    </row>
  </sheetData>
  <mergeCells count="9">
    <mergeCell ref="L1:R1"/>
    <mergeCell ref="X3:Z3"/>
    <mergeCell ref="X4:Z4"/>
    <mergeCell ref="B3:D3"/>
    <mergeCell ref="B4:D4"/>
    <mergeCell ref="J3:L3"/>
    <mergeCell ref="J4:L4"/>
    <mergeCell ref="P3:R3"/>
    <mergeCell ref="P4: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PT_Monthly</vt:lpstr>
      <vt:lpstr>PT_Quarterly</vt:lpstr>
      <vt:lpstr>PT_Region</vt:lpstr>
      <vt:lpstr>PT_SalesRep</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Sindhura Nair</cp:lastModifiedBy>
  <dcterms:created xsi:type="dcterms:W3CDTF">2025-06-21T13:19:11Z</dcterms:created>
  <dcterms:modified xsi:type="dcterms:W3CDTF">2026-04-24T14:07:31Z</dcterms:modified>
</cp:coreProperties>
</file>